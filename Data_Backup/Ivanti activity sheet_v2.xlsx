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1"/>
  <workbookPr/>
  <mc:AlternateContent xmlns:mc="http://schemas.openxmlformats.org/markup-compatibility/2006">
    <mc:Choice Requires="x15">
      <x15ac:absPath xmlns:x15ac="http://schemas.microsoft.com/office/spreadsheetml/2010/11/ac" url="/Users/akhilr/Documents/Sambhav Foundation/Projects/Ivanti/"/>
    </mc:Choice>
  </mc:AlternateContent>
  <xr:revisionPtr revIDLastSave="0" documentId="13_ncr:1_{5ABD9C3A-CD42-4B45-9891-0520B8C9F663}" xr6:coauthVersionLast="47" xr6:coauthVersionMax="47" xr10:uidLastSave="{00000000-0000-0000-0000-000000000000}"/>
  <bookViews>
    <workbookView xWindow="0" yWindow="680" windowWidth="17280" windowHeight="20440" tabRatio="583" xr2:uid="{00000000-000D-0000-FFFF-FFFF00000000}"/>
  </bookViews>
  <sheets>
    <sheet name="Project Overview" sheetId="1" r:id="rId1"/>
    <sheet name="Activity sheet " sheetId="2" r:id="rId2"/>
    <sheet name="HR sheet " sheetId="4" r:id="rId3"/>
    <sheet name="Course Details" sheetId="7" r:id="rId4"/>
    <sheet name="Mobilization Table" sheetId="6" r:id="rId5"/>
    <sheet name="Marketing" sheetId="5" r:id="rId6"/>
    <sheet name="Batch Plan" sheetId="8" r:id="rId7"/>
  </sheets>
  <definedNames>
    <definedName name="_xlnm._FilterDatabase" localSheetId="6" hidden="1">'Batch Plan'!$A$1:$W$55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8" l="1"/>
  <c r="L55" i="8"/>
  <c r="N55" i="8" s="1"/>
  <c r="K55" i="8"/>
  <c r="F55" i="8"/>
  <c r="Q55" i="8" s="1"/>
  <c r="R54" i="8"/>
  <c r="T54" i="8" s="1"/>
  <c r="U54" i="8" s="1"/>
  <c r="O54" i="8"/>
  <c r="N54" i="8"/>
  <c r="L54" i="8"/>
  <c r="K54" i="8"/>
  <c r="F54" i="8"/>
  <c r="Q54" i="8" s="1"/>
  <c r="O53" i="8"/>
  <c r="L53" i="8"/>
  <c r="N53" i="8" s="1"/>
  <c r="K53" i="8"/>
  <c r="F53" i="8"/>
  <c r="R53" i="8" s="1"/>
  <c r="T53" i="8" s="1"/>
  <c r="U53" i="8" s="1"/>
  <c r="O52" i="8"/>
  <c r="L52" i="8"/>
  <c r="N52" i="8" s="1"/>
  <c r="K52" i="8"/>
  <c r="F52" i="8"/>
  <c r="R51" i="8"/>
  <c r="T51" i="8" s="1"/>
  <c r="U51" i="8" s="1"/>
  <c r="O51" i="8"/>
  <c r="L51" i="8"/>
  <c r="N51" i="8" s="1"/>
  <c r="K51" i="8"/>
  <c r="F51" i="8"/>
  <c r="Q51" i="8" s="1"/>
  <c r="O50" i="8"/>
  <c r="L50" i="8"/>
  <c r="N50" i="8" s="1"/>
  <c r="K50" i="8"/>
  <c r="F50" i="8"/>
  <c r="Q50" i="8" s="1"/>
  <c r="O49" i="8"/>
  <c r="L49" i="8"/>
  <c r="N49" i="8" s="1"/>
  <c r="K49" i="8"/>
  <c r="F49" i="8"/>
  <c r="R49" i="8" s="1"/>
  <c r="T49" i="8" s="1"/>
  <c r="U49" i="8" s="1"/>
  <c r="O48" i="8"/>
  <c r="L48" i="8"/>
  <c r="N48" i="8" s="1"/>
  <c r="K48" i="8"/>
  <c r="F48" i="8"/>
  <c r="O47" i="8"/>
  <c r="L47" i="8"/>
  <c r="N47" i="8" s="1"/>
  <c r="K47" i="8"/>
  <c r="F47" i="8"/>
  <c r="Q47" i="8" s="1"/>
  <c r="O46" i="8"/>
  <c r="L46" i="8"/>
  <c r="N46" i="8" s="1"/>
  <c r="K46" i="8"/>
  <c r="F46" i="8"/>
  <c r="Q46" i="8" s="1"/>
  <c r="O45" i="8"/>
  <c r="L45" i="8"/>
  <c r="N45" i="8" s="1"/>
  <c r="K45" i="8"/>
  <c r="F45" i="8"/>
  <c r="Q45" i="8" s="1"/>
  <c r="O44" i="8"/>
  <c r="L44" i="8"/>
  <c r="N44" i="8" s="1"/>
  <c r="K44" i="8"/>
  <c r="F44" i="8"/>
  <c r="O43" i="8"/>
  <c r="L43" i="8"/>
  <c r="N43" i="8" s="1"/>
  <c r="K43" i="8"/>
  <c r="F43" i="8"/>
  <c r="Q43" i="8" s="1"/>
  <c r="R42" i="8"/>
  <c r="T42" i="8" s="1"/>
  <c r="U42" i="8" s="1"/>
  <c r="O42" i="8"/>
  <c r="L42" i="8"/>
  <c r="N42" i="8" s="1"/>
  <c r="K42" i="8"/>
  <c r="F42" i="8"/>
  <c r="Q42" i="8" s="1"/>
  <c r="O41" i="8"/>
  <c r="L41" i="8"/>
  <c r="N41" i="8" s="1"/>
  <c r="K41" i="8"/>
  <c r="F41" i="8"/>
  <c r="R41" i="8" s="1"/>
  <c r="T41" i="8" s="1"/>
  <c r="U41" i="8" s="1"/>
  <c r="O40" i="8"/>
  <c r="L40" i="8"/>
  <c r="N40" i="8" s="1"/>
  <c r="K40" i="8"/>
  <c r="F40" i="8"/>
  <c r="O39" i="8"/>
  <c r="L39" i="8"/>
  <c r="N39" i="8" s="1"/>
  <c r="K39" i="8"/>
  <c r="F39" i="8"/>
  <c r="Q39" i="8" s="1"/>
  <c r="R38" i="8"/>
  <c r="T38" i="8" s="1"/>
  <c r="U38" i="8" s="1"/>
  <c r="O38" i="8"/>
  <c r="L38" i="8"/>
  <c r="N38" i="8" s="1"/>
  <c r="K38" i="8"/>
  <c r="F38" i="8"/>
  <c r="Q38" i="8" s="1"/>
  <c r="R37" i="8"/>
  <c r="T37" i="8" s="1"/>
  <c r="U37" i="8" s="1"/>
  <c r="Q37" i="8"/>
  <c r="O37" i="8"/>
  <c r="L37" i="8"/>
  <c r="N37" i="8" s="1"/>
  <c r="K37" i="8"/>
  <c r="F37" i="8"/>
  <c r="O36" i="8"/>
  <c r="L36" i="8"/>
  <c r="N36" i="8" s="1"/>
  <c r="K36" i="8"/>
  <c r="F36" i="8"/>
  <c r="R35" i="8"/>
  <c r="T35" i="8" s="1"/>
  <c r="U35" i="8" s="1"/>
  <c r="O35" i="8"/>
  <c r="L35" i="8"/>
  <c r="N35" i="8" s="1"/>
  <c r="K35" i="8"/>
  <c r="F35" i="8"/>
  <c r="Q35" i="8" s="1"/>
  <c r="O34" i="8"/>
  <c r="L34" i="8"/>
  <c r="N34" i="8" s="1"/>
  <c r="K34" i="8"/>
  <c r="F34" i="8"/>
  <c r="Q34" i="8" s="1"/>
  <c r="O33" i="8"/>
  <c r="L33" i="8"/>
  <c r="N33" i="8" s="1"/>
  <c r="K33" i="8"/>
  <c r="F33" i="8"/>
  <c r="R33" i="8" s="1"/>
  <c r="T33" i="8" s="1"/>
  <c r="U33" i="8" s="1"/>
  <c r="O32" i="8"/>
  <c r="L32" i="8"/>
  <c r="N32" i="8" s="1"/>
  <c r="K32" i="8"/>
  <c r="F32" i="8"/>
  <c r="R31" i="8"/>
  <c r="T31" i="8" s="1"/>
  <c r="U31" i="8" s="1"/>
  <c r="O31" i="8"/>
  <c r="L31" i="8"/>
  <c r="N31" i="8" s="1"/>
  <c r="K31" i="8"/>
  <c r="F31" i="8"/>
  <c r="Q31" i="8" s="1"/>
  <c r="O30" i="8"/>
  <c r="L30" i="8"/>
  <c r="N30" i="8" s="1"/>
  <c r="K30" i="8"/>
  <c r="F30" i="8"/>
  <c r="Q30" i="8" s="1"/>
  <c r="O29" i="8"/>
  <c r="L29" i="8"/>
  <c r="N29" i="8" s="1"/>
  <c r="K29" i="8"/>
  <c r="F29" i="8"/>
  <c r="R29" i="8" s="1"/>
  <c r="T29" i="8" s="1"/>
  <c r="U29" i="8" s="1"/>
  <c r="O28" i="8"/>
  <c r="L28" i="8"/>
  <c r="N28" i="8" s="1"/>
  <c r="K28" i="8"/>
  <c r="F28" i="8"/>
  <c r="R27" i="8"/>
  <c r="T27" i="8" s="1"/>
  <c r="U27" i="8" s="1"/>
  <c r="O27" i="8"/>
  <c r="L27" i="8"/>
  <c r="N27" i="8" s="1"/>
  <c r="K27" i="8"/>
  <c r="F27" i="8"/>
  <c r="Q27" i="8" s="1"/>
  <c r="O26" i="8"/>
  <c r="L26" i="8"/>
  <c r="N26" i="8" s="1"/>
  <c r="K26" i="8"/>
  <c r="F26" i="8"/>
  <c r="Q26" i="8" s="1"/>
  <c r="O25" i="8"/>
  <c r="L25" i="8"/>
  <c r="N25" i="8" s="1"/>
  <c r="K25" i="8"/>
  <c r="F25" i="8"/>
  <c r="R25" i="8" s="1"/>
  <c r="T25" i="8" s="1"/>
  <c r="U25" i="8" s="1"/>
  <c r="O24" i="8"/>
  <c r="L24" i="8"/>
  <c r="N24" i="8" s="1"/>
  <c r="K24" i="8"/>
  <c r="F24" i="8"/>
  <c r="O23" i="8"/>
  <c r="L23" i="8"/>
  <c r="N23" i="8" s="1"/>
  <c r="K23" i="8"/>
  <c r="F23" i="8"/>
  <c r="Q23" i="8" s="1"/>
  <c r="R22" i="8"/>
  <c r="T22" i="8" s="1"/>
  <c r="U22" i="8" s="1"/>
  <c r="O22" i="8"/>
  <c r="L22" i="8"/>
  <c r="N22" i="8" s="1"/>
  <c r="K22" i="8"/>
  <c r="F22" i="8"/>
  <c r="Q22" i="8" s="1"/>
  <c r="R21" i="8"/>
  <c r="T21" i="8" s="1"/>
  <c r="U21" i="8" s="1"/>
  <c r="Q21" i="8"/>
  <c r="O21" i="8"/>
  <c r="N21" i="8"/>
  <c r="L21" i="8"/>
  <c r="K21" i="8"/>
  <c r="F21" i="8"/>
  <c r="O20" i="8"/>
  <c r="L20" i="8"/>
  <c r="N20" i="8" s="1"/>
  <c r="K20" i="8"/>
  <c r="F20" i="8"/>
  <c r="O19" i="8"/>
  <c r="L19" i="8"/>
  <c r="N19" i="8" s="1"/>
  <c r="K19" i="8"/>
  <c r="F19" i="8"/>
  <c r="Q19" i="8" s="1"/>
  <c r="O18" i="8"/>
  <c r="L18" i="8"/>
  <c r="N18" i="8" s="1"/>
  <c r="K18" i="8"/>
  <c r="F18" i="8"/>
  <c r="Q18" i="8" s="1"/>
  <c r="R17" i="8"/>
  <c r="T17" i="8" s="1"/>
  <c r="U17" i="8" s="1"/>
  <c r="Q17" i="8"/>
  <c r="O17" i="8"/>
  <c r="N17" i="8"/>
  <c r="L17" i="8"/>
  <c r="K17" i="8"/>
  <c r="F17" i="8"/>
  <c r="O16" i="8"/>
  <c r="L16" i="8"/>
  <c r="N16" i="8" s="1"/>
  <c r="K16" i="8"/>
  <c r="F16" i="8"/>
  <c r="R16" i="8" s="1"/>
  <c r="T16" i="8" s="1"/>
  <c r="U16" i="8" s="1"/>
  <c r="R15" i="8"/>
  <c r="T15" i="8" s="1"/>
  <c r="U15" i="8" s="1"/>
  <c r="O15" i="8"/>
  <c r="L15" i="8"/>
  <c r="N15" i="8" s="1"/>
  <c r="K15" i="8"/>
  <c r="F15" i="8"/>
  <c r="Q15" i="8" s="1"/>
  <c r="O14" i="8"/>
  <c r="L14" i="8"/>
  <c r="N14" i="8" s="1"/>
  <c r="K14" i="8"/>
  <c r="F14" i="8"/>
  <c r="Q14" i="8" s="1"/>
  <c r="O13" i="8"/>
  <c r="N13" i="8"/>
  <c r="L13" i="8"/>
  <c r="K13" i="8"/>
  <c r="F13" i="8"/>
  <c r="R13" i="8" s="1"/>
  <c r="T13" i="8" s="1"/>
  <c r="U13" i="8" s="1"/>
  <c r="O12" i="8"/>
  <c r="L12" i="8"/>
  <c r="N12" i="8" s="1"/>
  <c r="K12" i="8"/>
  <c r="F12" i="8"/>
  <c r="R12" i="8" s="1"/>
  <c r="T12" i="8" s="1"/>
  <c r="U12" i="8" s="1"/>
  <c r="R11" i="8"/>
  <c r="T11" i="8" s="1"/>
  <c r="U11" i="8" s="1"/>
  <c r="O11" i="8"/>
  <c r="L11" i="8"/>
  <c r="N11" i="8" s="1"/>
  <c r="K11" i="8"/>
  <c r="F11" i="8"/>
  <c r="Q11" i="8" s="1"/>
  <c r="O10" i="8"/>
  <c r="L10" i="8"/>
  <c r="N10" i="8" s="1"/>
  <c r="K10" i="8"/>
  <c r="F10" i="8"/>
  <c r="Q10" i="8" s="1"/>
  <c r="O9" i="8"/>
  <c r="L9" i="8"/>
  <c r="N9" i="8" s="1"/>
  <c r="K9" i="8"/>
  <c r="F9" i="8"/>
  <c r="R9" i="8" s="1"/>
  <c r="T9" i="8" s="1"/>
  <c r="U9" i="8" s="1"/>
  <c r="O8" i="8"/>
  <c r="L8" i="8"/>
  <c r="N8" i="8" s="1"/>
  <c r="K8" i="8"/>
  <c r="F8" i="8"/>
  <c r="R8" i="8" s="1"/>
  <c r="T8" i="8" s="1"/>
  <c r="U8" i="8" s="1"/>
  <c r="O7" i="8"/>
  <c r="L7" i="8"/>
  <c r="N7" i="8" s="1"/>
  <c r="K7" i="8"/>
  <c r="F7" i="8"/>
  <c r="Q7" i="8" s="1"/>
  <c r="O6" i="8"/>
  <c r="L6" i="8"/>
  <c r="N6" i="8" s="1"/>
  <c r="K6" i="8"/>
  <c r="F6" i="8"/>
  <c r="Q6" i="8" s="1"/>
  <c r="O5" i="8"/>
  <c r="L5" i="8"/>
  <c r="N5" i="8" s="1"/>
  <c r="K5" i="8"/>
  <c r="F5" i="8"/>
  <c r="R5" i="8" s="1"/>
  <c r="T5" i="8" s="1"/>
  <c r="U5" i="8" s="1"/>
  <c r="O4" i="8"/>
  <c r="L4" i="8"/>
  <c r="N4" i="8" s="1"/>
  <c r="K4" i="8"/>
  <c r="F4" i="8"/>
  <c r="R4" i="8" s="1"/>
  <c r="T4" i="8" s="1"/>
  <c r="U4" i="8" s="1"/>
  <c r="O3" i="8"/>
  <c r="L3" i="8"/>
  <c r="N3" i="8" s="1"/>
  <c r="K3" i="8"/>
  <c r="F3" i="8"/>
  <c r="Q3" i="8" s="1"/>
  <c r="R2" i="8"/>
  <c r="T2" i="8" s="1"/>
  <c r="U2" i="8" s="1"/>
  <c r="O2" i="8"/>
  <c r="N2" i="8"/>
  <c r="L2" i="8"/>
  <c r="K2" i="8"/>
  <c r="F2" i="8"/>
  <c r="Q2" i="8" s="1"/>
  <c r="R45" i="8" l="1"/>
  <c r="T45" i="8" s="1"/>
  <c r="U45" i="8" s="1"/>
  <c r="R14" i="8"/>
  <c r="T14" i="8" s="1"/>
  <c r="U14" i="8" s="1"/>
  <c r="Q41" i="8"/>
  <c r="R10" i="8"/>
  <c r="T10" i="8" s="1"/>
  <c r="U10" i="8" s="1"/>
  <c r="R46" i="8"/>
  <c r="T46" i="8" s="1"/>
  <c r="U46" i="8" s="1"/>
  <c r="R3" i="8"/>
  <c r="T3" i="8" s="1"/>
  <c r="U3" i="8" s="1"/>
  <c r="Q5" i="8"/>
  <c r="R18" i="8"/>
  <c r="T18" i="8" s="1"/>
  <c r="U18" i="8" s="1"/>
  <c r="R6" i="8"/>
  <c r="T6" i="8" s="1"/>
  <c r="U6" i="8" s="1"/>
  <c r="Q12" i="8"/>
  <c r="R50" i="8"/>
  <c r="T50" i="8" s="1"/>
  <c r="U50" i="8" s="1"/>
  <c r="R39" i="8"/>
  <c r="T39" i="8" s="1"/>
  <c r="U39" i="8" s="1"/>
  <c r="R26" i="8"/>
  <c r="T26" i="8" s="1"/>
  <c r="U26" i="8" s="1"/>
  <c r="R30" i="8"/>
  <c r="T30" i="8" s="1"/>
  <c r="U30" i="8" s="1"/>
  <c r="R34" i="8"/>
  <c r="T34" i="8" s="1"/>
  <c r="U34" i="8" s="1"/>
  <c r="R7" i="8"/>
  <c r="T7" i="8" s="1"/>
  <c r="U7" i="8" s="1"/>
  <c r="Q9" i="8"/>
  <c r="R20" i="8"/>
  <c r="T20" i="8" s="1"/>
  <c r="U20" i="8" s="1"/>
  <c r="Q20" i="8"/>
  <c r="Q25" i="8"/>
  <c r="R44" i="8"/>
  <c r="T44" i="8" s="1"/>
  <c r="U44" i="8" s="1"/>
  <c r="Q44" i="8"/>
  <c r="Q49" i="8"/>
  <c r="R36" i="8"/>
  <c r="T36" i="8" s="1"/>
  <c r="U36" i="8" s="1"/>
  <c r="Q36" i="8"/>
  <c r="R40" i="8"/>
  <c r="T40" i="8" s="1"/>
  <c r="U40" i="8" s="1"/>
  <c r="Q40" i="8"/>
  <c r="R19" i="8"/>
  <c r="T19" i="8" s="1"/>
  <c r="U19" i="8" s="1"/>
  <c r="R43" i="8"/>
  <c r="T43" i="8" s="1"/>
  <c r="U43" i="8" s="1"/>
  <c r="Q4" i="8"/>
  <c r="Q16" i="8"/>
  <c r="R23" i="8"/>
  <c r="T23" i="8" s="1"/>
  <c r="U23" i="8" s="1"/>
  <c r="R47" i="8"/>
  <c r="T47" i="8" s="1"/>
  <c r="U47" i="8" s="1"/>
  <c r="R24" i="8"/>
  <c r="T24" i="8" s="1"/>
  <c r="U24" i="8" s="1"/>
  <c r="Q24" i="8"/>
  <c r="Q29" i="8"/>
  <c r="R48" i="8"/>
  <c r="T48" i="8" s="1"/>
  <c r="U48" i="8" s="1"/>
  <c r="Q48" i="8"/>
  <c r="Q53" i="8"/>
  <c r="R32" i="8"/>
  <c r="T32" i="8" s="1"/>
  <c r="U32" i="8" s="1"/>
  <c r="Q32" i="8"/>
  <c r="Q13" i="8"/>
  <c r="R28" i="8"/>
  <c r="T28" i="8" s="1"/>
  <c r="U28" i="8" s="1"/>
  <c r="Q28" i="8"/>
  <c r="Q33" i="8"/>
  <c r="R52" i="8"/>
  <c r="T52" i="8" s="1"/>
  <c r="U52" i="8" s="1"/>
  <c r="Q52" i="8"/>
  <c r="Q8" i="8"/>
  <c r="R55" i="8"/>
  <c r="T55" i="8" s="1"/>
  <c r="U55" i="8" s="1"/>
  <c r="I8" i="1" l="1"/>
  <c r="I7" i="1"/>
  <c r="I6" i="1"/>
  <c r="I5" i="1"/>
  <c r="H8" i="1" l="1"/>
  <c r="G8" i="1"/>
  <c r="F8" i="1"/>
  <c r="E8" i="1"/>
</calcChain>
</file>

<file path=xl/sharedStrings.xml><?xml version="1.0" encoding="utf-8"?>
<sst xmlns="http://schemas.openxmlformats.org/spreadsheetml/2006/main" count="802" uniqueCount="339">
  <si>
    <t>Field</t>
  </si>
  <si>
    <t>Details</t>
  </si>
  <si>
    <t>Project Title</t>
  </si>
  <si>
    <t>Skilling Program for Youth in IT–ITeS Sector</t>
  </si>
  <si>
    <t>Brief Project Description</t>
  </si>
  <si>
    <r>
      <t xml:space="preserve">A college-cum-community-based training program for </t>
    </r>
    <r>
      <rPr>
        <b/>
        <sz val="11"/>
        <color theme="1"/>
        <rFont val="Calibri"/>
        <family val="2"/>
        <scheme val="minor"/>
      </rPr>
      <t>1,980 underserved youth</t>
    </r>
    <r>
      <rPr>
        <sz val="11"/>
        <color theme="1"/>
        <rFont val="Calibri"/>
        <family val="2"/>
        <scheme val="minor"/>
      </rPr>
      <t xml:space="preserve"> in Hyderabad, Mumbai, and Bangalore. The program will be implemented through </t>
    </r>
    <r>
      <rPr>
        <b/>
        <sz val="11"/>
        <color theme="1"/>
        <rFont val="Calibri"/>
        <family val="2"/>
        <scheme val="minor"/>
      </rPr>
      <t>9 colleges and 3 Express Training Centres (ETCs)</t>
    </r>
    <r>
      <rPr>
        <sz val="11"/>
        <color theme="1"/>
        <rFont val="Calibri"/>
        <family val="2"/>
        <scheme val="minor"/>
      </rPr>
      <t xml:space="preserve">, delivering training in </t>
    </r>
    <r>
      <rPr>
        <b/>
        <sz val="11"/>
        <color theme="1"/>
        <rFont val="Calibri"/>
        <family val="2"/>
        <scheme val="minor"/>
      </rPr>
      <t>AI Productivity &amp; Applications</t>
    </r>
    <r>
      <rPr>
        <sz val="11"/>
        <color theme="1"/>
        <rFont val="Calibri"/>
        <family val="2"/>
        <scheme val="minor"/>
      </rPr>
      <t>, followed by certification and placement support.</t>
    </r>
  </si>
  <si>
    <t>Project Funder</t>
  </si>
  <si>
    <t>Ivanti Technology India Pvt. Ltd.</t>
  </si>
  <si>
    <t>Project Entity</t>
  </si>
  <si>
    <t>Sambhav Foundation</t>
  </si>
  <si>
    <t>Theme</t>
  </si>
  <si>
    <t>Sub Theme</t>
  </si>
  <si>
    <t>MOU Effective Start Date</t>
  </si>
  <si>
    <t>1st September 2025</t>
  </si>
  <si>
    <t>MOU End Date</t>
  </si>
  <si>
    <t>31st March 2026</t>
  </si>
  <si>
    <t>Project Start Date</t>
  </si>
  <si>
    <t>Project End Date</t>
  </si>
  <si>
    <t>Deployment Region</t>
  </si>
  <si>
    <t>Mumbai, Bangalore &amp; Hyderabad</t>
  </si>
  <si>
    <t>Course</t>
  </si>
  <si>
    <t>AI Productivity &amp; Applications</t>
  </si>
  <si>
    <t>Expected Outcomes</t>
  </si>
  <si>
    <t>- 1,980 candidates trained, assessed &amp; certified</t>
  </si>
  <si>
    <t>- 50% placements post certification (approx. 990 youth)</t>
  </si>
  <si>
    <t>- 3-month post-placement tracking of placed candidates</t>
  </si>
  <si>
    <t>Key Deliverables</t>
  </si>
  <si>
    <t>- Human Resource Deployment</t>
  </si>
  <si>
    <t>- Training of Trainers (ToT)</t>
  </si>
  <si>
    <t>- Content Development</t>
  </si>
  <si>
    <t>- Registration, Onboarding &amp; Batch Formation</t>
  </si>
  <si>
    <t>- Training Delivery</t>
  </si>
  <si>
    <t>- Assessment &amp; Certification</t>
  </si>
  <si>
    <t>- Placements &amp; Post-Placement Tracking</t>
  </si>
  <si>
    <t>- Monitoring &amp; Evaluation</t>
  </si>
  <si>
    <t>- Program Reporting</t>
  </si>
  <si>
    <t>Monitoring and Reporting</t>
  </si>
  <si>
    <t>- Continuous Monitoring &amp; Evaluation (M&amp;E)</t>
  </si>
  <si>
    <t>- Regular program reporting to Ivanti</t>
  </si>
  <si>
    <t>- Final program report with outcomes &amp; learnings</t>
  </si>
  <si>
    <t>Overall Objective</t>
  </si>
  <si>
    <r>
      <t xml:space="preserve">To bridge the skill gap in the economy by enabling access to </t>
    </r>
    <r>
      <rPr>
        <b/>
        <sz val="11"/>
        <color theme="1"/>
        <rFont val="Calibri"/>
        <family val="2"/>
        <scheme val="minor"/>
      </rPr>
      <t>college- and community-based training</t>
    </r>
    <r>
      <rPr>
        <sz val="11"/>
        <color theme="1"/>
        <rFont val="Calibri"/>
        <family val="2"/>
        <scheme val="minor"/>
      </rPr>
      <t xml:space="preserve"> for underserved youth, promoting employability in the IT–ITeS sector, and ensuring 50% are linked to job opportunities.</t>
    </r>
  </si>
  <si>
    <t>Project overview</t>
  </si>
  <si>
    <t>Milestone</t>
  </si>
  <si>
    <t xml:space="preserve">Activity </t>
  </si>
  <si>
    <t>Responsibility</t>
  </si>
  <si>
    <t>Accountability</t>
  </si>
  <si>
    <t>Consulted</t>
  </si>
  <si>
    <t xml:space="preserve">Informed </t>
  </si>
  <si>
    <t xml:space="preserve">Frequency </t>
  </si>
  <si>
    <t xml:space="preserve">End date </t>
  </si>
  <si>
    <t>Identification of Colleges</t>
  </si>
  <si>
    <t>TM,Project coordinator</t>
  </si>
  <si>
    <t>TM</t>
  </si>
  <si>
    <t>PM,BU head</t>
  </si>
  <si>
    <t>I&amp;M</t>
  </si>
  <si>
    <t>Legal team</t>
  </si>
  <si>
    <t>Category Owner - Rent, UC</t>
  </si>
  <si>
    <t>Finance</t>
  </si>
  <si>
    <t xml:space="preserve">Placement </t>
  </si>
  <si>
    <t>TA</t>
  </si>
  <si>
    <t>Placement</t>
  </si>
  <si>
    <t xml:space="preserve">Training </t>
  </si>
  <si>
    <t>TOT</t>
  </si>
  <si>
    <t>Train trainers on content delivery, training methodology and usage of SAHI platform</t>
  </si>
  <si>
    <t>Training</t>
  </si>
  <si>
    <t>-</t>
  </si>
  <si>
    <t xml:space="preserve"> TM, PM</t>
  </si>
  <si>
    <t>PM, TM</t>
  </si>
  <si>
    <t>Mobilization</t>
  </si>
  <si>
    <t>Mobilizer</t>
  </si>
  <si>
    <t>Marketing</t>
  </si>
  <si>
    <t>BU Head</t>
  </si>
  <si>
    <t xml:space="preserve">Project coordinator </t>
  </si>
  <si>
    <t>PM</t>
  </si>
  <si>
    <t xml:space="preserve">Content development </t>
  </si>
  <si>
    <t>Print IEC Material,flyers and banners detailing the program, benefits, and registration process for distribution and mobilization purpose</t>
  </si>
  <si>
    <t>Printing &amp; Stationery</t>
  </si>
  <si>
    <t>PM, TM, Mobilizer, CM, BU Head</t>
  </si>
  <si>
    <t>Design Flyers, IEC material,Banners, and Standees.</t>
  </si>
  <si>
    <t>Counselling</t>
  </si>
  <si>
    <t>Creation of entry assessments and counselling framework</t>
  </si>
  <si>
    <t xml:space="preserve">Providing counseling to the interested/shortlisted learners </t>
  </si>
  <si>
    <t>Baseline assessment and endline assessment</t>
  </si>
  <si>
    <t>Sales</t>
  </si>
  <si>
    <t>Knowledge Partner</t>
  </si>
  <si>
    <t>Conduct baseline and endline assessment assessments for all registered candidates.</t>
  </si>
  <si>
    <t>Trainer</t>
  </si>
  <si>
    <t>PM, TM, BU Head</t>
  </si>
  <si>
    <t>Assessments</t>
  </si>
  <si>
    <t xml:space="preserve">Conduct third party assessment </t>
  </si>
  <si>
    <t xml:space="preserve">Marketing </t>
  </si>
  <si>
    <t>Certification</t>
  </si>
  <si>
    <t>Design certificate as per project &amp; donor requirements</t>
  </si>
  <si>
    <t>Take donor approval on certificate design</t>
  </si>
  <si>
    <t xml:space="preserve">Share details of the certificates to be printed with the printing team </t>
  </si>
  <si>
    <t xml:space="preserve">Inaugration </t>
  </si>
  <si>
    <t xml:space="preserve">Identification of work opportunities 
Collaboration with Employers &amp; Industry Experts </t>
  </si>
  <si>
    <t>Upload employer company details on SAHI platform</t>
  </si>
  <si>
    <t>Placement Officer</t>
  </si>
  <si>
    <t xml:space="preserve">Opportunity preparation for learner </t>
  </si>
  <si>
    <t>Trainers</t>
  </si>
  <si>
    <t xml:space="preserve">Placemnt tracking </t>
  </si>
  <si>
    <t>MIS</t>
  </si>
  <si>
    <t>Placement Tracking for 3 months</t>
  </si>
  <si>
    <t>Testimonials</t>
  </si>
  <si>
    <t>Social Media Marketing &amp; Communication</t>
  </si>
  <si>
    <t>Creation and Sharing of Social Media Posts</t>
  </si>
  <si>
    <t xml:space="preserve">UC Submission </t>
  </si>
  <si>
    <r>
      <t xml:space="preserve">Submission of project fund utilization statement quarterly 
</t>
    </r>
    <r>
      <rPr>
        <b/>
        <i/>
        <sz val="12"/>
        <color theme="1"/>
        <rFont val="Calibri"/>
        <family val="2"/>
        <scheme val="minor"/>
      </rPr>
      <t/>
    </r>
  </si>
  <si>
    <t>UC team</t>
  </si>
  <si>
    <t>BU Head, sales</t>
  </si>
  <si>
    <t>Audited financial UC to be submitted at the end of the year</t>
  </si>
  <si>
    <t>UC</t>
  </si>
  <si>
    <t xml:space="preserve">Impact Report and video </t>
  </si>
  <si>
    <t>Impact report preparation with key achievements and impact stories at the end of each year and end of project</t>
  </si>
  <si>
    <t>BU Head, Sales</t>
  </si>
  <si>
    <t>Project name</t>
  </si>
  <si>
    <t>Center name</t>
  </si>
  <si>
    <t>Course Name</t>
  </si>
  <si>
    <t xml:space="preserve">CRT start date </t>
  </si>
  <si>
    <t>CRT end date</t>
  </si>
  <si>
    <t xml:space="preserve">OJT start date </t>
  </si>
  <si>
    <t>OJT end date</t>
  </si>
  <si>
    <t xml:space="preserve">Mobilization start date </t>
  </si>
  <si>
    <t>Mobilization end date</t>
  </si>
  <si>
    <t xml:space="preserve">Mobilization target </t>
  </si>
  <si>
    <t xml:space="preserve">Enrollment start date </t>
  </si>
  <si>
    <t>Enrollment end date</t>
  </si>
  <si>
    <t xml:space="preserve">Enrollment target </t>
  </si>
  <si>
    <t xml:space="preserve">Certification start date </t>
  </si>
  <si>
    <t>Certification end date</t>
  </si>
  <si>
    <t xml:space="preserve">Certification target </t>
  </si>
  <si>
    <t xml:space="preserve">Placement start date </t>
  </si>
  <si>
    <t>Placement end date</t>
  </si>
  <si>
    <t xml:space="preserve">Placement target </t>
  </si>
  <si>
    <t>Batch created (Yes/No)</t>
  </si>
  <si>
    <t>Role</t>
  </si>
  <si>
    <t xml:space="preserve">full time/shared </t>
  </si>
  <si>
    <t>Location</t>
  </si>
  <si>
    <t>Requirements</t>
  </si>
  <si>
    <t xml:space="preserve">no of months(year 1) </t>
  </si>
  <si>
    <t>Description</t>
  </si>
  <si>
    <t>Responsibilities</t>
  </si>
  <si>
    <t xml:space="preserve">Program Coordinator </t>
  </si>
  <si>
    <t>Full time</t>
  </si>
  <si>
    <t xml:space="preserve">Mumbai </t>
  </si>
  <si>
    <t xml:space="preserve">Volunteer Activity by Employees </t>
  </si>
  <si>
    <t>Coordinate with Ivanti employees, fix date &amp; time, arrange sessions (guest lectures, mock interviews, mentoring)</t>
  </si>
  <si>
    <t>Monitoring &amp; Evaluation</t>
  </si>
  <si>
    <t>Regular monitoring of enrolment, training quality, placement outcomes; arrange reviews &amp; document findings</t>
  </si>
  <si>
    <t>Monthly</t>
  </si>
  <si>
    <t>Batch wise</t>
  </si>
  <si>
    <t>Activity</t>
  </si>
  <si>
    <t>Category (B2B / B2C)</t>
  </si>
  <si>
    <t>Execution Methods</t>
  </si>
  <si>
    <t>Frequency</t>
  </si>
  <si>
    <t>Program Launch Announcement</t>
  </si>
  <si>
    <t>B2B + B2C</t>
  </si>
  <si>
    <t>Publicize program inauguration and partnership between Ivanti &amp; Sambhav</t>
  </si>
  <si>
    <t>Press release, LinkedIn posts, Sambhav &amp; Ivanti websites, media coverage</t>
  </si>
  <si>
    <t>Once (at launch)</t>
  </si>
  <si>
    <t>College Awareness Sessions</t>
  </si>
  <si>
    <t>B2C</t>
  </si>
  <si>
    <t>Drive awareness among final-year students in 9 colleges</t>
  </si>
  <si>
    <t>On-campus events, posters, WhatsApp groups, student clubs</t>
  </si>
  <si>
    <t>Before each batch cycle</t>
  </si>
  <si>
    <t>Community Outreach</t>
  </si>
  <si>
    <t>Mobilize youth for ETC enrolments</t>
  </si>
  <si>
    <t>Pamphlets, local community meetings, WhatsApp campaigns, social media ads</t>
  </si>
  <si>
    <t>Ongoing (monthly)</t>
  </si>
  <si>
    <t>Employer Engagement</t>
  </si>
  <si>
    <t>B2B</t>
  </si>
  <si>
    <t>Position program with employers for placements and internships</t>
  </si>
  <si>
    <t>Employer roundtables, LinkedIn posts, direct outreach</t>
  </si>
  <si>
    <t>Quarterly</t>
  </si>
  <si>
    <t>Volunteer Engagement Stories</t>
  </si>
  <si>
    <t>Showcase Ivanti employee involvement in guest lectures &amp; inaugurations</t>
  </si>
  <si>
    <t>LinkedIn, newsletters, Ivanti internal communications</t>
  </si>
  <si>
    <t>Ongoing (per activity)</t>
  </si>
  <si>
    <t>Success Stories (Students)</t>
  </si>
  <si>
    <t>Highlight trained and placed youth to inspire others</t>
  </si>
  <si>
    <t>Short videos, Instagram/Facebook posts, reels, LinkedIn case studies</t>
  </si>
  <si>
    <t>Placement Drives Promotion</t>
  </si>
  <si>
    <t>Attract companies and highlight candidate readiness</t>
  </si>
  <si>
    <t>Flyers, LinkedIn posts, email campaigns to employers</t>
  </si>
  <si>
    <t>Before every placement drive</t>
  </si>
  <si>
    <t>Impact Reporting (CSR Branding)</t>
  </si>
  <si>
    <t>Share outcomes with corporate and CSR stakeholders</t>
  </si>
  <si>
    <t>CSR reports, LinkedIn articles, Ivanti &amp; Sambhav newsletters</t>
  </si>
  <si>
    <t>Bi-annual (midline, endline)</t>
  </si>
  <si>
    <t>Verification Document</t>
  </si>
  <si>
    <t>Status (Completed / Pending)</t>
  </si>
  <si>
    <t>Gender</t>
  </si>
  <si>
    <t>Educational Qualification</t>
  </si>
  <si>
    <t>Residential Proof</t>
  </si>
  <si>
    <t>Aadhar Card / Ration Card / Utility Bill</t>
  </si>
  <si>
    <t>Candidate Personal Details</t>
  </si>
  <si>
    <t>Beneficiary Background Verification</t>
  </si>
  <si>
    <t>Mobilization &amp; Outreach</t>
  </si>
  <si>
    <t>SAHI Portal Entry</t>
  </si>
  <si>
    <t>Acknowledgment of Receipt</t>
  </si>
  <si>
    <t>Provide acknowledgment / receipt of enrollment to candidate</t>
  </si>
  <si>
    <t>Enrollment Acknowledgment Slip</t>
  </si>
  <si>
    <t>Details (as per MoU/Proposal)</t>
  </si>
  <si>
    <t>Record gender details for program reporting</t>
  </si>
  <si>
    <t>ID proof / Self-declaration</t>
  </si>
  <si>
    <r>
      <t xml:space="preserve">Candidate must be a </t>
    </r>
    <r>
      <rPr>
        <b/>
        <sz val="11"/>
        <color theme="1"/>
        <rFont val="Calibri"/>
        <family val="2"/>
        <scheme val="minor"/>
      </rPr>
      <t>final-year graduate (any stream)</t>
    </r>
    <r>
      <rPr>
        <sz val="11"/>
        <color theme="1"/>
        <rFont val="Calibri"/>
        <family val="2"/>
        <scheme val="minor"/>
      </rPr>
      <t xml:space="preserve">, eligible for </t>
    </r>
    <r>
      <rPr>
        <b/>
        <sz val="11"/>
        <color theme="1"/>
        <rFont val="Calibri"/>
        <family val="2"/>
        <scheme val="minor"/>
      </rPr>
      <t>IT–ITeS skilling program – AI Productivity &amp; Applications</t>
    </r>
  </si>
  <si>
    <t>College ID card / Bonafide certificate / Marksheets</t>
  </si>
  <si>
    <t>Candidate residence must be within program deployment regions (Mumbai, Bangalore, Hyderabad)</t>
  </si>
  <si>
    <t>Collect name, contact info, emergency details</t>
  </si>
  <si>
    <t>Application Form</t>
  </si>
  <si>
    <t>Capture socio-economic details for baseline &amp; reporting</t>
  </si>
  <si>
    <t>Counselling Form</t>
  </si>
  <si>
    <r>
      <t xml:space="preserve">Provide orientation on </t>
    </r>
    <r>
      <rPr>
        <b/>
        <sz val="11"/>
        <color theme="1"/>
        <rFont val="Calibri"/>
        <family val="2"/>
        <scheme val="minor"/>
      </rPr>
      <t>IT–ITeS training program (100 hours)</t>
    </r>
    <r>
      <rPr>
        <sz val="11"/>
        <color theme="1"/>
        <rFont val="Calibri"/>
        <family val="2"/>
        <scheme val="minor"/>
      </rPr>
      <t>, explain benefits &amp; career outcomes</t>
    </r>
  </si>
  <si>
    <t>Counseling Attendance Sheet</t>
  </si>
  <si>
    <r>
      <t xml:space="preserve">Conduct awareness sessions in </t>
    </r>
    <r>
      <rPr>
        <b/>
        <sz val="11"/>
        <color theme="1"/>
        <rFont val="Calibri"/>
        <family val="2"/>
        <scheme val="minor"/>
      </rPr>
      <t>9 colleges + 3 ETCs</t>
    </r>
  </si>
  <si>
    <t>Photos, Attendance Sheets</t>
  </si>
  <si>
    <t>Selection, Screening &amp; Enrollment</t>
  </si>
  <si>
    <t>Screen eligible candidates, finalize enrollment, allocate batches</t>
  </si>
  <si>
    <t>Enrollment List</t>
  </si>
  <si>
    <r>
      <t xml:space="preserve">Enter all enrolled candidate data into </t>
    </r>
    <r>
      <rPr>
        <b/>
        <sz val="11"/>
        <color theme="1"/>
        <rFont val="Calibri"/>
        <family val="2"/>
        <scheme val="minor"/>
      </rPr>
      <t>SAHI App</t>
    </r>
    <r>
      <rPr>
        <sz val="11"/>
        <color theme="1"/>
        <rFont val="Calibri"/>
        <family val="2"/>
        <scheme val="minor"/>
      </rPr>
      <t xml:space="preserve"> for tracking</t>
    </r>
  </si>
  <si>
    <t>SAHI Portal Entry Screenshot</t>
  </si>
  <si>
    <t>Provide enrollment acknowledgment to candidate</t>
  </si>
  <si>
    <t>Placement officer</t>
  </si>
  <si>
    <t>Shared</t>
  </si>
  <si>
    <t>Bangalore</t>
  </si>
  <si>
    <t xml:space="preserve">Hyderabad </t>
  </si>
  <si>
    <r>
      <t xml:space="preserve">Trainers are responsible for delivering the </t>
    </r>
    <r>
      <rPr>
        <b/>
        <sz val="11"/>
        <color theme="1"/>
        <rFont val="Calibri"/>
        <family val="2"/>
        <scheme val="minor"/>
      </rPr>
      <t>AI Productivity &amp; Applications</t>
    </r>
    <r>
      <rPr>
        <sz val="11"/>
        <color theme="1"/>
        <rFont val="Calibri"/>
        <family val="2"/>
        <scheme val="minor"/>
      </rPr>
      <t xml:space="preserve"> course (100 hours) under the IT–ITeS skilling program. They act as the primary facilitators of learning, ensuring candidates acquire both technical and employability skills as per industry standards. Trainers bridge classroom instruction with practical applications, preparing students for assessment, certification, and eventual placement.</t>
    </r>
  </si>
  <si>
    <t>Placement Officers are responsible for linking trained candidates with employment opportunities in the IT–ITeS sector. They build relationships with employers, organize placement drives, prepare candidates through CV building and mock interviews, and track post-placement outcomes for three months.</t>
  </si>
  <si>
    <t>Employability</t>
  </si>
  <si>
    <t>Colleges</t>
  </si>
  <si>
    <t>Mumbai</t>
  </si>
  <si>
    <t>Hyderabad</t>
  </si>
  <si>
    <t>No. of Colleges</t>
  </si>
  <si>
    <t>No. of candidates trained in colleges</t>
  </si>
  <si>
    <t>No. of candidates trained in ETC</t>
  </si>
  <si>
    <t>No. of Express Training Centre (ETC)</t>
  </si>
  <si>
    <t>Total</t>
  </si>
  <si>
    <t>- Stakeholder Engagement</t>
  </si>
  <si>
    <r>
      <t xml:space="preserve">- Identification &amp; tie-up with </t>
    </r>
    <r>
      <rPr>
        <b/>
        <sz val="11"/>
        <color theme="1"/>
        <rFont val="Calibri"/>
        <family val="2"/>
        <scheme val="minor"/>
      </rPr>
      <t>9 colleges and setting up 3 ETCs</t>
    </r>
  </si>
  <si>
    <t>- Awareness, Mobilization &amp; Counselling of the candidates</t>
  </si>
  <si>
    <t>Ivanti Tech</t>
  </si>
  <si>
    <t>College 1</t>
  </si>
  <si>
    <t>Particulars</t>
  </si>
  <si>
    <t>Job Role</t>
  </si>
  <si>
    <t>Sector</t>
  </si>
  <si>
    <t>IT-ITeS</t>
  </si>
  <si>
    <t>Minimum Qualifications</t>
  </si>
  <si>
    <t>Final year Graduate Students</t>
  </si>
  <si>
    <t>Training Duration</t>
  </si>
  <si>
    <t>100 Hours</t>
  </si>
  <si>
    <t>Course Module</t>
  </si>
  <si>
    <t>The following modules will be covered during the Program:</t>
  </si>
  <si>
    <r>
      <t>·</t>
    </r>
    <r>
      <rPr>
        <sz val="7"/>
        <color theme="1"/>
        <rFont val="Times New Roman"/>
        <family val="1"/>
      </rPr>
      <t xml:space="preserve">        </t>
    </r>
    <r>
      <rPr>
        <sz val="11"/>
        <color theme="1"/>
        <rFont val="Calibri"/>
        <family val="2"/>
        <scheme val="minor"/>
      </rPr>
      <t>Introduction the Course</t>
    </r>
  </si>
  <si>
    <r>
      <t>·</t>
    </r>
    <r>
      <rPr>
        <sz val="7"/>
        <color theme="1"/>
        <rFont val="Times New Roman"/>
        <family val="1"/>
      </rPr>
      <t xml:space="preserve">        </t>
    </r>
    <r>
      <rPr>
        <sz val="11"/>
        <color theme="1"/>
        <rFont val="Calibri"/>
        <family val="2"/>
        <scheme val="minor"/>
      </rPr>
      <t>Portfolio Building for Digi locker</t>
    </r>
  </si>
  <si>
    <r>
      <t>·</t>
    </r>
    <r>
      <rPr>
        <sz val="7"/>
        <color theme="1"/>
        <rFont val="Times New Roman"/>
        <family val="1"/>
      </rPr>
      <t xml:space="preserve">        </t>
    </r>
    <r>
      <rPr>
        <sz val="11"/>
        <color theme="1"/>
        <rFont val="Calibri"/>
        <family val="2"/>
        <scheme val="minor"/>
      </rPr>
      <t>Introduction to AI in the Workplace</t>
    </r>
  </si>
  <si>
    <r>
      <t>·</t>
    </r>
    <r>
      <rPr>
        <sz val="7"/>
        <color theme="1"/>
        <rFont val="Times New Roman"/>
        <family val="1"/>
      </rPr>
      <t xml:space="preserve">        </t>
    </r>
    <r>
      <rPr>
        <sz val="11"/>
        <color theme="1"/>
        <rFont val="Calibri"/>
        <family val="2"/>
        <scheme val="minor"/>
      </rPr>
      <t>Communication &amp; Customer Handling and Employability Skills</t>
    </r>
  </si>
  <si>
    <r>
      <t>·</t>
    </r>
    <r>
      <rPr>
        <sz val="7"/>
        <color theme="1"/>
        <rFont val="Times New Roman"/>
        <family val="1"/>
      </rPr>
      <t xml:space="preserve">        </t>
    </r>
    <r>
      <rPr>
        <sz val="11"/>
        <color theme="1"/>
        <rFont val="Calibri"/>
        <family val="2"/>
        <scheme val="minor"/>
      </rPr>
      <t>Introduction to Computer Basics and Typing Skills</t>
    </r>
  </si>
  <si>
    <r>
      <t>·</t>
    </r>
    <r>
      <rPr>
        <sz val="7"/>
        <color theme="1"/>
        <rFont val="Times New Roman"/>
        <family val="1"/>
      </rPr>
      <t xml:space="preserve">        </t>
    </r>
    <r>
      <rPr>
        <sz val="11"/>
        <color theme="1"/>
        <rFont val="Calibri"/>
        <family val="2"/>
        <scheme val="minor"/>
      </rPr>
      <t>AI tools for Daily Tasks</t>
    </r>
  </si>
  <si>
    <r>
      <t>·</t>
    </r>
    <r>
      <rPr>
        <sz val="7"/>
        <color theme="1"/>
        <rFont val="Times New Roman"/>
        <family val="1"/>
      </rPr>
      <t xml:space="preserve">        </t>
    </r>
    <r>
      <rPr>
        <sz val="11"/>
        <color theme="1"/>
        <rFont val="Calibri"/>
        <family val="2"/>
        <scheme val="minor"/>
      </rPr>
      <t>Content Creation with AI</t>
    </r>
  </si>
  <si>
    <r>
      <t>·</t>
    </r>
    <r>
      <rPr>
        <sz val="7"/>
        <color theme="1"/>
        <rFont val="Times New Roman"/>
        <family val="1"/>
      </rPr>
      <t xml:space="preserve">        </t>
    </r>
    <r>
      <rPr>
        <sz val="11"/>
        <color theme="1"/>
        <rFont val="Calibri"/>
        <family val="2"/>
        <scheme val="minor"/>
      </rPr>
      <t>Using AI in Office Tools</t>
    </r>
  </si>
  <si>
    <r>
      <t>·</t>
    </r>
    <r>
      <rPr>
        <sz val="7"/>
        <color theme="1"/>
        <rFont val="Times New Roman"/>
        <family val="1"/>
      </rPr>
      <t xml:space="preserve">        </t>
    </r>
    <r>
      <rPr>
        <sz val="11"/>
        <color theme="1"/>
        <rFont val="Calibri"/>
        <family val="2"/>
        <scheme val="minor"/>
      </rPr>
      <t>Time Management and Productivity</t>
    </r>
  </si>
  <si>
    <r>
      <t>·</t>
    </r>
    <r>
      <rPr>
        <sz val="7"/>
        <color theme="1"/>
        <rFont val="Times New Roman"/>
        <family val="1"/>
      </rPr>
      <t xml:space="preserve">        </t>
    </r>
    <r>
      <rPr>
        <sz val="11"/>
        <color theme="1"/>
        <rFont val="Calibri"/>
        <family val="2"/>
        <scheme val="minor"/>
      </rPr>
      <t>Data and Reporting</t>
    </r>
  </si>
  <si>
    <r>
      <t>·</t>
    </r>
    <r>
      <rPr>
        <sz val="7"/>
        <color theme="1"/>
        <rFont val="Times New Roman"/>
        <family val="1"/>
      </rPr>
      <t xml:space="preserve">        </t>
    </r>
    <r>
      <rPr>
        <sz val="11"/>
        <color theme="1"/>
        <rFont val="Calibri"/>
        <family val="2"/>
        <scheme val="minor"/>
      </rPr>
      <t>Professional Soft Skills</t>
    </r>
  </si>
  <si>
    <r>
      <t>·</t>
    </r>
    <r>
      <rPr>
        <sz val="7"/>
        <color theme="1"/>
        <rFont val="Times New Roman"/>
        <family val="1"/>
      </rPr>
      <t xml:space="preserve">        </t>
    </r>
    <r>
      <rPr>
        <sz val="11"/>
        <color theme="1"/>
        <rFont val="Calibri"/>
        <family val="2"/>
        <scheme val="minor"/>
      </rPr>
      <t>AI Ethics and Data Privacy</t>
    </r>
  </si>
  <si>
    <t>College 2</t>
  </si>
  <si>
    <t>College 3</t>
  </si>
  <si>
    <t>ETC</t>
  </si>
  <si>
    <t>Program Coordinator will coordinate with partner colleges, manage the Express Training Center, and ensure smooth execution of training batches. The coordinator will act as a link between trainers, mobilizers, and other stakeholders, ensuring that program activities are executed efficiently and in line with MoU requirements.</t>
  </si>
  <si>
    <t xml:space="preserve">
- Liaise with colleges to facilitate student enrollment and ensure smooth collaboration for the training program
- Coordinate with trainers, mobilizers, and other stakeholders to ensure smooth implementation of training programs
- Manage batch formation, track participant progress, and monitor learning outcomes.
- Oversee operations of the Express Training Center, ensuring proper scheduling, resources, and training delivery.
</t>
  </si>
  <si>
    <t>Mobilizers are the first point of contact between the program and the community. They create awareness about the IT–ITeS skilling program, identify eligible final-year graduate youth from  local communities, and guide them through the enrolment process. Mobilizers ensure outreach, documentation, and candidate readiness for counselling and training.</t>
  </si>
  <si>
    <t>Identify and mobilize eligible youth from communities, conduct outreach and awareness activities, support enrolment and SAHI portal entry, and ensure candidates attend counselling and join the IT–ITeS training program.</t>
  </si>
  <si>
    <r>
      <t xml:space="preserve">A dedicated officer for candidate placement process 
</t>
    </r>
    <r>
      <rPr>
        <b/>
        <sz val="11"/>
        <color rgb="FF000000"/>
        <rFont val="Calibri"/>
        <family val="2"/>
        <scheme val="minor"/>
      </rPr>
      <t>(From Batch Initiation till April for placements spillover)</t>
    </r>
  </si>
  <si>
    <t>Deliver the AI Productivity &amp; Applications training (100 hours) to final-year graduates, ensure active participation, maintain attendance, prepare candidates for assessments, and support their skill development for IT–ITeS sector placements.
1 trainer for each college and one for ETC</t>
  </si>
  <si>
    <t>Checklist Item</t>
  </si>
  <si>
    <t>Human Resource Deployment</t>
  </si>
  <si>
    <t>HR</t>
  </si>
  <si>
    <t>PM, TM, RMG</t>
  </si>
  <si>
    <t>BU Head, PMT Lead</t>
  </si>
  <si>
    <t>Once</t>
  </si>
  <si>
    <t xml:space="preserve">Start date </t>
  </si>
  <si>
    <t>Identify &amp; Tie-up with 9 colleges (3 in Mumbai, 3 in Bangalore, 3 in Hyderabad)</t>
  </si>
  <si>
    <t xml:space="preserve">Identify 1 ETC on rental basis in each location with basic facilities and basic computer system availability. </t>
  </si>
  <si>
    <t>Identification  of Express Training Centres (ETC)</t>
  </si>
  <si>
    <t>Sign the agreement with respective landlord of the centre space and computer system rental</t>
  </si>
  <si>
    <t>PM, BU Head, PMT Lead</t>
  </si>
  <si>
    <t>TM, PM, BU Head, PMT Lead</t>
  </si>
  <si>
    <r>
      <t>Source, interview and hire Human resources as per the requirement (</t>
    </r>
    <r>
      <rPr>
        <b/>
        <sz val="11"/>
        <color theme="1"/>
        <rFont val="Calibri"/>
        <family val="2"/>
        <scheme val="minor"/>
      </rPr>
      <t>refer "HR Sheet"</t>
    </r>
    <r>
      <rPr>
        <sz val="11"/>
        <color theme="1"/>
        <rFont val="Calibri"/>
        <family val="2"/>
        <scheme val="minor"/>
      </rPr>
      <t xml:space="preserve"> in the file)</t>
    </r>
  </si>
  <si>
    <r>
      <t xml:space="preserve">Deliver </t>
    </r>
    <r>
      <rPr>
        <b/>
        <sz val="11"/>
        <color theme="1"/>
        <rFont val="Calibri"/>
        <family val="2"/>
        <scheme val="minor"/>
      </rPr>
      <t>AI Productivity &amp; Applications (100 hours)</t>
    </r>
    <r>
      <rPr>
        <sz val="11"/>
        <color theme="1"/>
        <rFont val="Calibri"/>
        <family val="2"/>
        <scheme val="minor"/>
      </rPr>
      <t xml:space="preserve"> course to </t>
    </r>
    <r>
      <rPr>
        <b/>
        <sz val="11"/>
        <color theme="1"/>
        <rFont val="Calibri"/>
        <family val="2"/>
        <scheme val="minor"/>
      </rPr>
      <t>1,980 candidates</t>
    </r>
    <r>
      <rPr>
        <sz val="11"/>
        <color theme="1"/>
        <rFont val="Calibri"/>
        <family val="2"/>
        <scheme val="minor"/>
      </rPr>
      <t xml:space="preserve"> (1,440 in 9 colleges + 540 in 3 ETCs)</t>
    </r>
  </si>
  <si>
    <r>
      <t xml:space="preserve">Learners interview and deployment 
</t>
    </r>
    <r>
      <rPr>
        <b/>
        <i/>
        <sz val="11"/>
        <color theme="1"/>
        <rFont val="Calibri"/>
        <family val="2"/>
        <scheme val="minor"/>
      </rPr>
      <t>Note - Placement must be done batch wise and not at the end of the project. Every month placement numbers to be completed and reported.</t>
    </r>
  </si>
  <si>
    <t>Project Co-ordinator</t>
  </si>
  <si>
    <t>PMT Lead, BU Head</t>
  </si>
  <si>
    <t>PMT Lead</t>
  </si>
  <si>
    <t>Orient the project team on the project deliverables, reporting and other complinace requirements</t>
  </si>
  <si>
    <t>TM, Mobilizer, Project coordinator</t>
  </si>
  <si>
    <t>Ongoing</t>
  </si>
  <si>
    <t>Conduct awareness campaigns- Digital and physical mobilization in colleges &amp; community</t>
  </si>
  <si>
    <t>Project Coordinator, Mobilizer</t>
  </si>
  <si>
    <t>Placement, TM</t>
  </si>
  <si>
    <t>Impact Team</t>
  </si>
  <si>
    <t>Create or prepare impact assessment tools</t>
  </si>
  <si>
    <t>TM, BU Head</t>
  </si>
  <si>
    <t>Trainer, Project Coordinator</t>
  </si>
  <si>
    <t>Baseline-at the start of the batch
Endline - at the end of the batch</t>
  </si>
  <si>
    <t>PM, TM, BU Head, PMT Lead</t>
  </si>
  <si>
    <t>Project Coordinator, Trainer, TM, BU Head,PMT Lead</t>
  </si>
  <si>
    <t>Registration &amp; Batch formation</t>
  </si>
  <si>
    <t>Collect basic data information of candidates and groups.
Register candidates on SAHI platform 
Create batches in SAHI and tag candidates to the batches</t>
  </si>
  <si>
    <t>Assessment Team</t>
  </si>
  <si>
    <t>Identification &amp; finalization of third party assessor</t>
  </si>
  <si>
    <t>3rd party assessor</t>
  </si>
  <si>
    <t>Project coordinator, TM</t>
  </si>
  <si>
    <t>PM,PMT Lead, Training, BU Head</t>
  </si>
  <si>
    <t>Schedule &amp; arrange an inauguration ceremony for launching of the project.
Invite key stakeholders including donor representatives, community leaders and Principal and teachers in case of colleges
Ensure proper branding during inauguration ceremony</t>
  </si>
  <si>
    <t>Organize certificate distribution ceremony for all certified  candidates</t>
  </si>
  <si>
    <t>Training, TM, BU Head</t>
  </si>
  <si>
    <t>PMT Lead, PM</t>
  </si>
  <si>
    <t>Project Coordinator</t>
  </si>
  <si>
    <t>PM, PMT Lead, TM, BU Head</t>
  </si>
  <si>
    <t xml:space="preserve"> PM, TM, Project Coordinator, BU Head, PMT Lead</t>
  </si>
  <si>
    <t>PM,TM,BU head, PMT Lead</t>
  </si>
  <si>
    <t>3 months post placement for each placed candidate</t>
  </si>
  <si>
    <t>TM, Project coordinator, Trainer</t>
  </si>
  <si>
    <t>TM, BU Head, PMT Lead</t>
  </si>
  <si>
    <t>-Collect at least three successful testimonials for each batch 
-High quality video and text  testimonials to be submitted to donor on a quarterly basis.</t>
  </si>
  <si>
    <t>BU head,TM, PMT Lead</t>
  </si>
  <si>
    <t>Volunteering Executive</t>
  </si>
  <si>
    <t>TM, Project coordinator</t>
  </si>
  <si>
    <t>BU Head, PMT Lead,</t>
  </si>
  <si>
    <t>Project activity progress report to be shared with donor once a month. Including monthly MIS, narrative report, pictures, videos, etc with details of progress achieved.</t>
  </si>
  <si>
    <t>Project Coordinator, TM, BU Head, PMT Lead</t>
  </si>
  <si>
    <t>Annually</t>
  </si>
  <si>
    <t>Program Reporting</t>
  </si>
  <si>
    <t>Develop the content as per the project requirements</t>
  </si>
  <si>
    <t>Express Training Centres (ETC) are temporary, rented training centres equipped with all necessary infrastructure, including computers, where no additional setup is required before commencing training. These centres are ready-to-use and facilitate immediate training delivery.</t>
  </si>
  <si>
    <t>Total No. of Candidates to be trained</t>
  </si>
  <si>
    <t>Revised CRT start Date</t>
  </si>
  <si>
    <t>Revised CRT End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</si>
</sst>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3F3F3F"/>
      <name val="Calibri"/>
      <family val="2"/>
      <scheme val="minor"/>
    </font>
    <font>
      <b/>
      <sz val="11"/>
      <color theme="1"/>
      <name val="Calibri"/>
      <family val="2"/>
      <scheme val="minor"/>
    </font>
    <font>
      <b/>
      <sz val="12"/>
      <color theme="0"/>
      <name val="Calibri"/>
      <family val="2"/>
      <scheme val="minor"/>
    </font>
    <font>
      <sz val="11"/>
      <name val="Calibri"/>
      <family val="2"/>
      <scheme val="minor"/>
    </font>
    <font>
      <b/>
      <i/>
      <sz val="12"/>
      <color theme="1"/>
      <name val="Calibri"/>
      <family val="2"/>
      <scheme val="minor"/>
    </font>
    <font>
      <b/>
      <sz val="12"/>
      <color theme="1" tint="4.9989318521683403E-2"/>
      <name val="Calibri"/>
      <family val="2"/>
      <scheme val="minor"/>
    </font>
    <font>
      <b/>
      <sz val="12"/>
      <color theme="1"/>
      <name val="Calibri"/>
      <family val="2"/>
      <scheme val="minor"/>
    </font>
    <font>
      <sz val="9"/>
      <color rgb="FF000000"/>
      <name val="Aptos"/>
      <family val="2"/>
    </font>
    <font>
      <sz val="11"/>
      <color rgb="FF000000"/>
      <name val="Calibri"/>
      <family val="2"/>
      <scheme val="minor"/>
    </font>
    <font>
      <b/>
      <sz val="11"/>
      <color theme="0"/>
      <name val="Calibri"/>
      <family val="2"/>
      <scheme val="minor"/>
    </font>
    <font>
      <sz val="11"/>
      <color theme="1"/>
      <name val="Symbol"/>
      <family val="1"/>
      <charset val="2"/>
    </font>
    <font>
      <sz val="7"/>
      <color theme="1"/>
      <name val="Times New Roman"/>
      <family val="1"/>
    </font>
    <font>
      <b/>
      <sz val="11"/>
      <color rgb="FF000000"/>
      <name val="Calibri"/>
      <family val="2"/>
      <scheme val="minor"/>
    </font>
    <font>
      <b/>
      <i/>
      <sz val="11"/>
      <color theme="1"/>
      <name val="Calibri"/>
      <family val="2"/>
      <scheme val="minor"/>
    </font>
  </fonts>
  <fills count="10">
    <fill>
      <patternFill patternType="none"/>
    </fill>
    <fill>
      <patternFill patternType="gray125"/>
    </fill>
    <fill>
      <patternFill patternType="solid">
        <fgColor rgb="FFF2F2F2"/>
      </patternFill>
    </fill>
    <fill>
      <patternFill patternType="solid">
        <fgColor rgb="FF0070C0"/>
        <bgColor indexed="64"/>
      </patternFill>
    </fill>
    <fill>
      <patternFill patternType="solid">
        <fgColor theme="4"/>
        <bgColor indexed="64"/>
      </patternFill>
    </fill>
    <fill>
      <patternFill patternType="solid">
        <fgColor theme="0"/>
        <bgColor indexed="64"/>
      </patternFill>
    </fill>
    <fill>
      <patternFill patternType="solid">
        <fgColor theme="8" tint="0.59999389629810485"/>
        <bgColor indexed="64"/>
      </patternFill>
    </fill>
    <fill>
      <patternFill patternType="solid">
        <fgColor theme="8"/>
        <bgColor indexed="64"/>
      </patternFill>
    </fill>
    <fill>
      <patternFill patternType="solid">
        <fgColor rgb="FFB8CCE4"/>
        <bgColor indexed="64"/>
      </patternFill>
    </fill>
    <fill>
      <patternFill patternType="solid">
        <fgColor theme="8" tint="-0.249977111117893"/>
        <bgColor indexed="64"/>
      </patternFill>
    </fill>
  </fills>
  <borders count="10">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2">
    <xf numFmtId="0" fontId="0" fillId="0" borderId="0"/>
    <xf numFmtId="0" fontId="1" fillId="2" borderId="1" applyNumberFormat="0" applyAlignment="0" applyProtection="0"/>
  </cellStyleXfs>
  <cellXfs count="56">
    <xf numFmtId="0" fontId="0" fillId="0" borderId="0" xfId="0"/>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0" fillId="0" borderId="2" xfId="0" applyBorder="1" applyAlignment="1">
      <alignment vertical="center" wrapText="1"/>
    </xf>
    <xf numFmtId="17" fontId="0" fillId="0" borderId="2" xfId="0" applyNumberFormat="1" applyBorder="1" applyAlignment="1">
      <alignment vertical="center" wrapText="1"/>
    </xf>
    <xf numFmtId="0" fontId="0" fillId="0" borderId="2" xfId="0" applyBorder="1" applyAlignment="1">
      <alignment horizontal="center" vertical="center"/>
    </xf>
    <xf numFmtId="0" fontId="4" fillId="5" borderId="2" xfId="1" applyFont="1" applyFill="1" applyBorder="1" applyAlignment="1">
      <alignment horizontal="center" vertical="center" wrapText="1"/>
    </xf>
    <xf numFmtId="0" fontId="0" fillId="0" borderId="0" xfId="0" applyAlignment="1">
      <alignment horizontal="center" vertical="center"/>
    </xf>
    <xf numFmtId="14" fontId="6" fillId="6" borderId="2" xfId="0" applyNumberFormat="1" applyFont="1" applyFill="1" applyBorder="1" applyAlignment="1">
      <alignment horizontal="center" wrapText="1"/>
    </xf>
    <xf numFmtId="14" fontId="7" fillId="6" borderId="2" xfId="0" applyNumberFormat="1" applyFont="1" applyFill="1" applyBorder="1" applyAlignment="1">
      <alignment horizontal="center" wrapText="1"/>
    </xf>
    <xf numFmtId="0" fontId="2" fillId="0" borderId="2" xfId="0" applyFont="1" applyBorder="1" applyAlignment="1">
      <alignment horizontal="center" vertical="top"/>
    </xf>
    <xf numFmtId="0" fontId="0" fillId="0" borderId="2" xfId="0" applyBorder="1"/>
    <xf numFmtId="0" fontId="2" fillId="0" borderId="2" xfId="0" applyFont="1" applyBorder="1" applyAlignment="1">
      <alignment horizontal="center" vertical="center"/>
    </xf>
    <xf numFmtId="0" fontId="10" fillId="7" borderId="2" xfId="0" applyFont="1" applyFill="1" applyBorder="1" applyAlignment="1">
      <alignment horizontal="center" vertical="center" wrapText="1"/>
    </xf>
    <xf numFmtId="0" fontId="0" fillId="0" borderId="2" xfId="0" quotePrefix="1" applyBorder="1" applyAlignment="1">
      <alignment vertical="center" wrapText="1"/>
    </xf>
    <xf numFmtId="0" fontId="2" fillId="8" borderId="3" xfId="0" applyFont="1" applyFill="1" applyBorder="1" applyAlignment="1">
      <alignment horizontal="justify" vertical="center" wrapText="1"/>
    </xf>
    <xf numFmtId="0" fontId="2" fillId="8" borderId="4" xfId="0" applyFont="1" applyFill="1" applyBorder="1" applyAlignment="1">
      <alignment horizontal="justify" vertical="center" wrapText="1"/>
    </xf>
    <xf numFmtId="0" fontId="0" fillId="0" borderId="5" xfId="0" applyBorder="1" applyAlignment="1">
      <alignment horizontal="justify" vertical="center" wrapText="1"/>
    </xf>
    <xf numFmtId="0" fontId="0" fillId="0" borderId="6" xfId="0" applyBorder="1" applyAlignment="1">
      <alignment horizontal="justify" vertical="center" wrapText="1"/>
    </xf>
    <xf numFmtId="0" fontId="0" fillId="0" borderId="8" xfId="0" applyBorder="1" applyAlignment="1">
      <alignment horizontal="justify" vertical="center" wrapText="1"/>
    </xf>
    <xf numFmtId="0" fontId="11" fillId="0" borderId="8" xfId="0" applyFont="1" applyBorder="1" applyAlignment="1">
      <alignment horizontal="justify" vertical="center" wrapText="1"/>
    </xf>
    <xf numFmtId="0" fontId="11" fillId="0" borderId="6" xfId="0" applyFont="1" applyBorder="1" applyAlignment="1">
      <alignment horizontal="justify" vertical="center" wrapText="1"/>
    </xf>
    <xf numFmtId="15" fontId="0" fillId="0" borderId="2" xfId="0" applyNumberFormat="1" applyBorder="1"/>
    <xf numFmtId="0" fontId="0" fillId="0" borderId="2" xfId="0" applyBorder="1" applyAlignment="1">
      <alignment horizontal="left" vertical="center"/>
    </xf>
    <xf numFmtId="0" fontId="3" fillId="4" borderId="2" xfId="1" applyFont="1" applyFill="1" applyBorder="1" applyAlignment="1">
      <alignment horizontal="center" vertical="center"/>
    </xf>
    <xf numFmtId="0" fontId="3" fillId="4" borderId="2" xfId="1" applyFont="1" applyFill="1" applyBorder="1" applyAlignment="1">
      <alignment horizontal="left" vertical="center"/>
    </xf>
    <xf numFmtId="0" fontId="0" fillId="0" borderId="0" xfId="0" applyAlignment="1">
      <alignment horizontal="left" vertical="center"/>
    </xf>
    <xf numFmtId="0" fontId="0" fillId="0" borderId="2" xfId="0" quotePrefix="1" applyBorder="1" applyAlignment="1">
      <alignment horizontal="left" vertical="center" wrapText="1"/>
    </xf>
    <xf numFmtId="0" fontId="9" fillId="0" borderId="2" xfId="0" applyFont="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5" borderId="2" xfId="0" applyFill="1" applyBorder="1" applyAlignment="1">
      <alignment horizontal="center" vertical="center" wrapText="1"/>
    </xf>
    <xf numFmtId="0" fontId="4" fillId="5" borderId="2" xfId="1" applyFont="1" applyFill="1" applyBorder="1" applyAlignment="1">
      <alignment horizontal="center" vertical="center"/>
    </xf>
    <xf numFmtId="0" fontId="9" fillId="0" borderId="2" xfId="0" applyFont="1" applyBorder="1" applyAlignment="1">
      <alignment horizontal="left" vertical="center"/>
    </xf>
    <xf numFmtId="0" fontId="0" fillId="5" borderId="2" xfId="0" applyFill="1" applyBorder="1" applyAlignment="1">
      <alignment horizontal="center" vertical="center"/>
    </xf>
    <xf numFmtId="0" fontId="0" fillId="0" borderId="2" xfId="0" applyBorder="1" applyAlignment="1">
      <alignment vertical="center"/>
    </xf>
    <xf numFmtId="0" fontId="0" fillId="5" borderId="2" xfId="0" applyFill="1" applyBorder="1" applyAlignment="1">
      <alignment horizontal="left" vertical="center"/>
    </xf>
    <xf numFmtId="0" fontId="0" fillId="5" borderId="2" xfId="0" applyFill="1" applyBorder="1" applyAlignment="1">
      <alignment horizontal="left" vertical="center" wrapText="1"/>
    </xf>
    <xf numFmtId="0" fontId="3" fillId="4" borderId="2" xfId="1" applyFont="1" applyFill="1" applyBorder="1" applyAlignment="1">
      <alignment horizontal="left" vertical="center" wrapText="1"/>
    </xf>
    <xf numFmtId="0" fontId="9" fillId="0" borderId="2" xfId="0" quotePrefix="1" applyFont="1" applyBorder="1" applyAlignment="1">
      <alignment horizontal="left" vertical="center" wrapText="1"/>
    </xf>
    <xf numFmtId="15" fontId="0" fillId="0" borderId="2" xfId="0" applyNumberFormat="1" applyBorder="1" applyAlignment="1">
      <alignment horizontal="center" vertical="center"/>
    </xf>
    <xf numFmtId="0" fontId="0" fillId="5" borderId="2" xfId="0" applyFill="1" applyBorder="1" applyAlignment="1">
      <alignment vertical="center"/>
    </xf>
    <xf numFmtId="0" fontId="0" fillId="0" borderId="2" xfId="0" applyBorder="1" applyAlignment="1">
      <alignment horizontal="center"/>
    </xf>
    <xf numFmtId="0" fontId="10" fillId="9" borderId="2" xfId="0" applyFont="1" applyFill="1" applyBorder="1" applyAlignment="1">
      <alignment horizontal="center" vertical="center" wrapText="1"/>
    </xf>
    <xf numFmtId="0" fontId="2" fillId="0" borderId="2" xfId="0" applyFont="1" applyBorder="1" applyAlignment="1">
      <alignment vertical="center" wrapText="1"/>
    </xf>
    <xf numFmtId="0" fontId="10" fillId="3" borderId="0" xfId="0" applyFont="1" applyFill="1" applyAlignment="1">
      <alignment horizontal="center"/>
    </xf>
    <xf numFmtId="0" fontId="2" fillId="0" borderId="0" xfId="0" applyFont="1" applyAlignment="1">
      <alignment wrapText="1"/>
    </xf>
    <xf numFmtId="0" fontId="0" fillId="0" borderId="2" xfId="0" applyBorder="1" applyAlignment="1">
      <alignment horizontal="left" vertical="center" wrapText="1"/>
    </xf>
    <xf numFmtId="0" fontId="0" fillId="0" borderId="2" xfId="0" applyBorder="1" applyAlignment="1">
      <alignment horizontal="left" vertical="top" wrapText="1"/>
    </xf>
    <xf numFmtId="0" fontId="8" fillId="0" borderId="2" xfId="0" applyFont="1" applyBorder="1" applyAlignment="1">
      <alignment horizontal="center" vertical="center" wrapText="1"/>
    </xf>
    <xf numFmtId="0" fontId="0" fillId="0" borderId="2" xfId="0" applyBorder="1" applyAlignment="1">
      <alignment horizontal="center" vertical="center"/>
    </xf>
    <xf numFmtId="0" fontId="0" fillId="0" borderId="2" xfId="0" quotePrefix="1" applyBorder="1" applyAlignment="1">
      <alignment horizontal="left" vertical="center" wrapText="1"/>
    </xf>
    <xf numFmtId="0" fontId="9" fillId="0" borderId="2" xfId="0" applyFont="1" applyBorder="1" applyAlignment="1">
      <alignment horizontal="left" vertical="center" wrapText="1"/>
    </xf>
    <xf numFmtId="0" fontId="0" fillId="0" borderId="9" xfId="0" applyBorder="1" applyAlignment="1">
      <alignment horizontal="justify" vertical="center" wrapText="1"/>
    </xf>
    <xf numFmtId="0" fontId="0" fillId="0" borderId="7" xfId="0" applyBorder="1" applyAlignment="1">
      <alignment horizontal="justify" vertical="center" wrapText="1"/>
    </xf>
    <xf numFmtId="0" fontId="0" fillId="0" borderId="5" xfId="0" applyBorder="1" applyAlignment="1">
      <alignment horizontal="justify" vertical="center" wrapText="1"/>
    </xf>
  </cellXfs>
  <cellStyles count="2">
    <cellStyle name="Normal" xfId="0" builtinId="0"/>
    <cellStyle name="Output"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showGridLines="0" tabSelected="1" workbookViewId="0">
      <selection activeCell="B31" sqref="B31"/>
    </sheetView>
  </sheetViews>
  <sheetFormatPr baseColWidth="10" defaultColWidth="8.83203125" defaultRowHeight="15" x14ac:dyDescent="0.2"/>
  <cols>
    <col min="1" max="1" width="14.1640625" customWidth="1"/>
    <col min="2" max="2" width="72.5" customWidth="1"/>
    <col min="4" max="4" width="9.83203125" bestFit="1" customWidth="1"/>
    <col min="5" max="5" width="13.83203125" customWidth="1"/>
    <col min="6" max="6" width="18" customWidth="1"/>
    <col min="7" max="7" width="19" customWidth="1"/>
    <col min="8" max="8" width="16.83203125" customWidth="1"/>
    <col min="9" max="9" width="15.1640625" customWidth="1"/>
  </cols>
  <sheetData>
    <row r="1" spans="1:9" x14ac:dyDescent="0.2">
      <c r="A1" s="45" t="s">
        <v>42</v>
      </c>
      <c r="B1" s="45"/>
    </row>
    <row r="2" spans="1:9" ht="16" x14ac:dyDescent="0.2">
      <c r="A2" s="1" t="s">
        <v>0</v>
      </c>
      <c r="B2" s="1" t="s">
        <v>1</v>
      </c>
    </row>
    <row r="3" spans="1:9" ht="16" x14ac:dyDescent="0.2">
      <c r="A3" s="2" t="s">
        <v>2</v>
      </c>
      <c r="B3" s="3" t="s">
        <v>3</v>
      </c>
    </row>
    <row r="4" spans="1:9" ht="64" x14ac:dyDescent="0.2">
      <c r="A4" s="2" t="s">
        <v>4</v>
      </c>
      <c r="B4" s="3" t="s">
        <v>5</v>
      </c>
      <c r="D4" s="13" t="s">
        <v>139</v>
      </c>
      <c r="E4" s="13" t="s">
        <v>234</v>
      </c>
      <c r="F4" s="13" t="s">
        <v>235</v>
      </c>
      <c r="G4" s="13" t="s">
        <v>237</v>
      </c>
      <c r="H4" s="13" t="s">
        <v>236</v>
      </c>
      <c r="I4" s="43" t="s">
        <v>336</v>
      </c>
    </row>
    <row r="5" spans="1:9" ht="16" x14ac:dyDescent="0.2">
      <c r="A5" s="2" t="s">
        <v>6</v>
      </c>
      <c r="B5" s="3" t="s">
        <v>7</v>
      </c>
      <c r="D5" s="11" t="s">
        <v>226</v>
      </c>
      <c r="E5" s="5">
        <v>3</v>
      </c>
      <c r="F5" s="5">
        <v>480</v>
      </c>
      <c r="G5" s="5">
        <v>1</v>
      </c>
      <c r="H5" s="5">
        <v>180</v>
      </c>
      <c r="I5" s="42">
        <f>H5+F5</f>
        <v>660</v>
      </c>
    </row>
    <row r="6" spans="1:9" ht="16" x14ac:dyDescent="0.2">
      <c r="A6" s="2" t="s">
        <v>8</v>
      </c>
      <c r="B6" s="3" t="s">
        <v>9</v>
      </c>
      <c r="D6" s="11" t="s">
        <v>232</v>
      </c>
      <c r="E6" s="5">
        <v>3</v>
      </c>
      <c r="F6" s="5">
        <v>480</v>
      </c>
      <c r="G6" s="5">
        <v>1</v>
      </c>
      <c r="H6" s="5">
        <v>180</v>
      </c>
      <c r="I6" s="42">
        <f t="shared" ref="I6:I7" si="0">H6+F6</f>
        <v>660</v>
      </c>
    </row>
    <row r="7" spans="1:9" ht="16" x14ac:dyDescent="0.2">
      <c r="A7" s="2" t="s">
        <v>10</v>
      </c>
      <c r="B7" s="3" t="s">
        <v>230</v>
      </c>
      <c r="D7" s="11" t="s">
        <v>233</v>
      </c>
      <c r="E7" s="5">
        <v>3</v>
      </c>
      <c r="F7" s="5">
        <v>480</v>
      </c>
      <c r="G7" s="5">
        <v>1</v>
      </c>
      <c r="H7" s="5">
        <v>180</v>
      </c>
      <c r="I7" s="42">
        <f t="shared" si="0"/>
        <v>660</v>
      </c>
    </row>
    <row r="8" spans="1:9" ht="16" x14ac:dyDescent="0.2">
      <c r="A8" s="2" t="s">
        <v>11</v>
      </c>
      <c r="B8" s="3" t="s">
        <v>231</v>
      </c>
      <c r="D8" s="12" t="s">
        <v>238</v>
      </c>
      <c r="E8" s="12">
        <f>SUM(E5:E7)</f>
        <v>9</v>
      </c>
      <c r="F8" s="12">
        <f t="shared" ref="F8:I8" si="1">SUM(F5:F7)</f>
        <v>1440</v>
      </c>
      <c r="G8" s="12">
        <f t="shared" si="1"/>
        <v>3</v>
      </c>
      <c r="H8" s="12">
        <f t="shared" si="1"/>
        <v>540</v>
      </c>
      <c r="I8" s="12">
        <f t="shared" si="1"/>
        <v>1980</v>
      </c>
    </row>
    <row r="9" spans="1:9" ht="31.25" customHeight="1" x14ac:dyDescent="0.2">
      <c r="A9" s="2" t="s">
        <v>12</v>
      </c>
      <c r="B9" s="3" t="s">
        <v>13</v>
      </c>
      <c r="D9" s="46" t="s">
        <v>335</v>
      </c>
      <c r="E9" s="46"/>
      <c r="F9" s="46"/>
      <c r="G9" s="46"/>
      <c r="H9" s="46"/>
    </row>
    <row r="10" spans="1:9" ht="32.5" customHeight="1" x14ac:dyDescent="0.2">
      <c r="A10" s="2" t="s">
        <v>14</v>
      </c>
      <c r="B10" s="3" t="s">
        <v>15</v>
      </c>
      <c r="D10" s="46"/>
      <c r="E10" s="46"/>
      <c r="F10" s="46"/>
      <c r="G10" s="46"/>
      <c r="H10" s="46"/>
    </row>
    <row r="11" spans="1:9" ht="32" x14ac:dyDescent="0.2">
      <c r="A11" s="2" t="s">
        <v>16</v>
      </c>
      <c r="B11" s="4">
        <v>45901</v>
      </c>
    </row>
    <row r="12" spans="1:9" ht="16" x14ac:dyDescent="0.2">
      <c r="A12" s="2" t="s">
        <v>17</v>
      </c>
      <c r="B12" s="4">
        <v>46082</v>
      </c>
    </row>
    <row r="13" spans="1:9" ht="32" x14ac:dyDescent="0.2">
      <c r="A13" s="2" t="s">
        <v>18</v>
      </c>
      <c r="B13" s="3" t="s">
        <v>19</v>
      </c>
    </row>
    <row r="14" spans="1:9" ht="16" x14ac:dyDescent="0.2">
      <c r="A14" s="2" t="s">
        <v>20</v>
      </c>
      <c r="B14" s="3" t="s">
        <v>21</v>
      </c>
    </row>
    <row r="15" spans="1:9" ht="16" x14ac:dyDescent="0.2">
      <c r="A15" s="44" t="s">
        <v>22</v>
      </c>
      <c r="B15" s="3" t="s">
        <v>23</v>
      </c>
    </row>
    <row r="16" spans="1:9" ht="16" x14ac:dyDescent="0.2">
      <c r="A16" s="44"/>
      <c r="B16" s="3" t="s">
        <v>24</v>
      </c>
    </row>
    <row r="17" spans="1:2" ht="16" x14ac:dyDescent="0.2">
      <c r="A17" s="44"/>
      <c r="B17" s="3" t="s">
        <v>25</v>
      </c>
    </row>
    <row r="18" spans="1:2" ht="16" x14ac:dyDescent="0.2">
      <c r="A18" s="44" t="s">
        <v>26</v>
      </c>
      <c r="B18" s="14" t="s">
        <v>240</v>
      </c>
    </row>
    <row r="19" spans="1:2" ht="16" x14ac:dyDescent="0.2">
      <c r="A19" s="44"/>
      <c r="B19" s="3" t="s">
        <v>27</v>
      </c>
    </row>
    <row r="20" spans="1:2" ht="16" x14ac:dyDescent="0.2">
      <c r="A20" s="44"/>
      <c r="B20" s="14" t="s">
        <v>239</v>
      </c>
    </row>
    <row r="21" spans="1:2" ht="16" x14ac:dyDescent="0.2">
      <c r="A21" s="44"/>
      <c r="B21" s="3" t="s">
        <v>28</v>
      </c>
    </row>
    <row r="22" spans="1:2" ht="16" x14ac:dyDescent="0.2">
      <c r="A22" s="44"/>
      <c r="B22" s="3" t="s">
        <v>29</v>
      </c>
    </row>
    <row r="23" spans="1:2" ht="16" x14ac:dyDescent="0.2">
      <c r="A23" s="44"/>
      <c r="B23" s="14" t="s">
        <v>241</v>
      </c>
    </row>
    <row r="24" spans="1:2" ht="16" x14ac:dyDescent="0.2">
      <c r="A24" s="44"/>
      <c r="B24" s="3" t="s">
        <v>30</v>
      </c>
    </row>
    <row r="25" spans="1:2" ht="16" x14ac:dyDescent="0.2">
      <c r="A25" s="44"/>
      <c r="B25" s="3" t="s">
        <v>31</v>
      </c>
    </row>
    <row r="26" spans="1:2" ht="16" x14ac:dyDescent="0.2">
      <c r="A26" s="44"/>
      <c r="B26" s="3" t="s">
        <v>32</v>
      </c>
    </row>
    <row r="27" spans="1:2" ht="16" x14ac:dyDescent="0.2">
      <c r="A27" s="44"/>
      <c r="B27" s="3" t="s">
        <v>33</v>
      </c>
    </row>
    <row r="28" spans="1:2" ht="16" x14ac:dyDescent="0.2">
      <c r="A28" s="44"/>
      <c r="B28" s="3" t="s">
        <v>34</v>
      </c>
    </row>
    <row r="29" spans="1:2" ht="16" x14ac:dyDescent="0.2">
      <c r="A29" s="44"/>
      <c r="B29" s="3" t="s">
        <v>35</v>
      </c>
    </row>
    <row r="30" spans="1:2" ht="16" x14ac:dyDescent="0.2">
      <c r="A30" s="44" t="s">
        <v>36</v>
      </c>
      <c r="B30" s="3" t="s">
        <v>37</v>
      </c>
    </row>
    <row r="31" spans="1:2" ht="16" x14ac:dyDescent="0.2">
      <c r="A31" s="44"/>
      <c r="B31" s="3" t="s">
        <v>38</v>
      </c>
    </row>
    <row r="32" spans="1:2" ht="16" x14ac:dyDescent="0.2">
      <c r="A32" s="44"/>
      <c r="B32" s="3" t="s">
        <v>39</v>
      </c>
    </row>
    <row r="33" spans="1:2" ht="48" x14ac:dyDescent="0.2">
      <c r="A33" s="2" t="s">
        <v>40</v>
      </c>
      <c r="B33" s="3" t="s">
        <v>41</v>
      </c>
    </row>
  </sheetData>
  <mergeCells count="5">
    <mergeCell ref="A15:A17"/>
    <mergeCell ref="A18:A29"/>
    <mergeCell ref="A30:A32"/>
    <mergeCell ref="A1:B1"/>
    <mergeCell ref="D9:H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
  <sheetViews>
    <sheetView showGridLines="0" workbookViewId="0">
      <pane xSplit="1" ySplit="1" topLeftCell="E2" activePane="bottomRight" state="frozen"/>
      <selection pane="topRight" activeCell="C1" sqref="C1"/>
      <selection pane="bottomLeft" activeCell="A2" sqref="A2"/>
      <selection pane="bottomRight" activeCell="A2" sqref="A2:I2"/>
    </sheetView>
  </sheetViews>
  <sheetFormatPr baseColWidth="10" defaultColWidth="8.83203125" defaultRowHeight="15" x14ac:dyDescent="0.2"/>
  <cols>
    <col min="1" max="1" width="36.83203125" style="26" customWidth="1"/>
    <col min="2" max="2" width="56.83203125" style="26" customWidth="1"/>
    <col min="3" max="4" width="23.83203125" style="7" customWidth="1"/>
    <col min="5" max="5" width="18.33203125" style="7" customWidth="1"/>
    <col min="6" max="6" width="33.6640625" style="7" customWidth="1"/>
    <col min="7" max="7" width="26.1640625" style="7" customWidth="1"/>
    <col min="8" max="8" width="10.6640625" style="7" bestFit="1" customWidth="1"/>
    <col min="9" max="9" width="9.83203125" style="7" bestFit="1" customWidth="1"/>
  </cols>
  <sheetData>
    <row r="1" spans="1:9" ht="17" x14ac:dyDescent="0.2">
      <c r="A1" s="25" t="s">
        <v>43</v>
      </c>
      <c r="B1" s="38" t="s">
        <v>44</v>
      </c>
      <c r="C1" s="24" t="s">
        <v>45</v>
      </c>
      <c r="D1" s="24" t="s">
        <v>46</v>
      </c>
      <c r="E1" s="24" t="s">
        <v>47</v>
      </c>
      <c r="F1" s="24" t="s">
        <v>48</v>
      </c>
      <c r="G1" s="24" t="s">
        <v>49</v>
      </c>
      <c r="H1" s="24" t="s">
        <v>281</v>
      </c>
      <c r="I1" s="24" t="s">
        <v>50</v>
      </c>
    </row>
    <row r="2" spans="1:9" ht="35.5" customHeight="1" x14ac:dyDescent="0.2">
      <c r="A2" s="23" t="s">
        <v>276</v>
      </c>
      <c r="B2" s="27" t="s">
        <v>288</v>
      </c>
      <c r="C2" s="28" t="s">
        <v>60</v>
      </c>
      <c r="D2" s="5" t="s">
        <v>277</v>
      </c>
      <c r="E2" s="29" t="s">
        <v>278</v>
      </c>
      <c r="F2" s="29" t="s">
        <v>279</v>
      </c>
      <c r="G2" s="5" t="s">
        <v>280</v>
      </c>
      <c r="H2" s="40">
        <v>45912</v>
      </c>
      <c r="I2" s="40">
        <v>45930</v>
      </c>
    </row>
    <row r="3" spans="1:9" ht="35.5" customHeight="1" x14ac:dyDescent="0.2">
      <c r="A3" s="23" t="s">
        <v>276</v>
      </c>
      <c r="B3" s="27" t="s">
        <v>294</v>
      </c>
      <c r="C3" s="28" t="s">
        <v>53</v>
      </c>
      <c r="D3" s="5" t="s">
        <v>74</v>
      </c>
      <c r="E3" s="29" t="s">
        <v>72</v>
      </c>
      <c r="F3" s="29" t="s">
        <v>293</v>
      </c>
      <c r="G3" s="5" t="s">
        <v>280</v>
      </c>
      <c r="H3" s="40">
        <v>45912</v>
      </c>
      <c r="I3" s="40">
        <v>45930</v>
      </c>
    </row>
    <row r="4" spans="1:9" ht="28.25" customHeight="1" x14ac:dyDescent="0.2">
      <c r="A4" s="30" t="s">
        <v>51</v>
      </c>
      <c r="B4" s="30" t="s">
        <v>282</v>
      </c>
      <c r="C4" s="31" t="s">
        <v>52</v>
      </c>
      <c r="D4" s="29" t="s">
        <v>53</v>
      </c>
      <c r="E4" s="5"/>
      <c r="F4" s="29" t="s">
        <v>54</v>
      </c>
      <c r="G4" s="5" t="s">
        <v>280</v>
      </c>
      <c r="H4" s="40">
        <v>45912</v>
      </c>
      <c r="I4" s="40">
        <v>45930</v>
      </c>
    </row>
    <row r="5" spans="1:9" ht="32" x14ac:dyDescent="0.2">
      <c r="A5" s="30" t="s">
        <v>284</v>
      </c>
      <c r="B5" s="30" t="s">
        <v>283</v>
      </c>
      <c r="C5" s="32" t="s">
        <v>55</v>
      </c>
      <c r="D5" s="6" t="s">
        <v>55</v>
      </c>
      <c r="E5" s="6" t="s">
        <v>88</v>
      </c>
      <c r="F5" s="5"/>
      <c r="G5" s="5" t="s">
        <v>280</v>
      </c>
      <c r="H5" s="40">
        <v>45901</v>
      </c>
      <c r="I5" s="40">
        <v>45920</v>
      </c>
    </row>
    <row r="6" spans="1:9" ht="32" x14ac:dyDescent="0.2">
      <c r="A6" s="30" t="s">
        <v>284</v>
      </c>
      <c r="B6" s="30" t="s">
        <v>285</v>
      </c>
      <c r="C6" s="5" t="s">
        <v>56</v>
      </c>
      <c r="D6" s="5" t="s">
        <v>55</v>
      </c>
      <c r="E6" s="6" t="s">
        <v>57</v>
      </c>
      <c r="F6" s="5" t="s">
        <v>58</v>
      </c>
      <c r="G6" s="5" t="s">
        <v>280</v>
      </c>
      <c r="H6" s="40">
        <v>45921</v>
      </c>
      <c r="I6" s="40">
        <v>45930</v>
      </c>
    </row>
    <row r="7" spans="1:9" ht="28.25" customHeight="1" x14ac:dyDescent="0.2">
      <c r="A7" s="30" t="s">
        <v>75</v>
      </c>
      <c r="B7" s="30" t="s">
        <v>334</v>
      </c>
      <c r="C7" s="5" t="s">
        <v>65</v>
      </c>
      <c r="D7" s="5" t="s">
        <v>65</v>
      </c>
      <c r="E7" s="6"/>
      <c r="F7" s="29" t="s">
        <v>287</v>
      </c>
      <c r="G7" s="5" t="s">
        <v>280</v>
      </c>
      <c r="H7" s="40">
        <v>45912</v>
      </c>
      <c r="I7" s="40">
        <v>45930</v>
      </c>
    </row>
    <row r="8" spans="1:9" ht="32" x14ac:dyDescent="0.2">
      <c r="A8" s="33" t="s">
        <v>63</v>
      </c>
      <c r="B8" s="30" t="s">
        <v>64</v>
      </c>
      <c r="C8" s="5" t="s">
        <v>65</v>
      </c>
      <c r="D8" s="5" t="s">
        <v>65</v>
      </c>
      <c r="E8" s="5" t="s">
        <v>66</v>
      </c>
      <c r="F8" s="5" t="s">
        <v>67</v>
      </c>
      <c r="G8" s="5" t="s">
        <v>280</v>
      </c>
      <c r="H8" s="40">
        <v>45931</v>
      </c>
      <c r="I8" s="40">
        <v>45961</v>
      </c>
    </row>
    <row r="9" spans="1:9" ht="73.75" customHeight="1" x14ac:dyDescent="0.2">
      <c r="A9" s="23" t="s">
        <v>96</v>
      </c>
      <c r="B9" s="30" t="s">
        <v>314</v>
      </c>
      <c r="C9" s="32" t="s">
        <v>291</v>
      </c>
      <c r="D9" s="6" t="s">
        <v>53</v>
      </c>
      <c r="E9" s="6" t="s">
        <v>74</v>
      </c>
      <c r="F9" s="29" t="s">
        <v>292</v>
      </c>
      <c r="G9" s="5" t="s">
        <v>280</v>
      </c>
      <c r="H9" s="40">
        <v>45931</v>
      </c>
      <c r="I9" s="40">
        <v>45945</v>
      </c>
    </row>
    <row r="10" spans="1:9" ht="32" x14ac:dyDescent="0.2">
      <c r="A10" s="3" t="s">
        <v>69</v>
      </c>
      <c r="B10" s="30" t="s">
        <v>79</v>
      </c>
      <c r="C10" s="34" t="s">
        <v>71</v>
      </c>
      <c r="D10" s="5" t="s">
        <v>74</v>
      </c>
      <c r="E10" s="29" t="s">
        <v>295</v>
      </c>
      <c r="F10" s="29" t="s">
        <v>279</v>
      </c>
      <c r="G10" s="5" t="s">
        <v>296</v>
      </c>
      <c r="H10" s="40">
        <v>45915</v>
      </c>
      <c r="I10" s="40">
        <v>45920</v>
      </c>
    </row>
    <row r="11" spans="1:9" ht="32" x14ac:dyDescent="0.2">
      <c r="A11" s="3" t="s">
        <v>69</v>
      </c>
      <c r="B11" s="30" t="s">
        <v>76</v>
      </c>
      <c r="C11" s="29" t="s">
        <v>77</v>
      </c>
      <c r="D11" s="5" t="s">
        <v>71</v>
      </c>
      <c r="E11" s="5"/>
      <c r="F11" s="29" t="s">
        <v>78</v>
      </c>
      <c r="G11" s="5" t="s">
        <v>296</v>
      </c>
      <c r="H11" s="40">
        <v>45921</v>
      </c>
      <c r="I11" s="40">
        <v>45925</v>
      </c>
    </row>
    <row r="12" spans="1:9" ht="32" x14ac:dyDescent="0.2">
      <c r="A12" s="3" t="s">
        <v>69</v>
      </c>
      <c r="B12" s="30" t="s">
        <v>297</v>
      </c>
      <c r="C12" s="31" t="s">
        <v>298</v>
      </c>
      <c r="D12" s="5" t="s">
        <v>53</v>
      </c>
      <c r="E12" s="5" t="s">
        <v>71</v>
      </c>
      <c r="F12" s="29" t="s">
        <v>286</v>
      </c>
      <c r="G12" s="5" t="s">
        <v>296</v>
      </c>
      <c r="H12" s="40">
        <v>45915</v>
      </c>
      <c r="I12" s="40">
        <v>46096</v>
      </c>
    </row>
    <row r="13" spans="1:9" ht="16" x14ac:dyDescent="0.2">
      <c r="A13" s="23" t="s">
        <v>80</v>
      </c>
      <c r="B13" s="30" t="s">
        <v>81</v>
      </c>
      <c r="C13" s="5" t="s">
        <v>65</v>
      </c>
      <c r="D13" s="5" t="s">
        <v>65</v>
      </c>
      <c r="E13" s="5" t="s">
        <v>299</v>
      </c>
      <c r="F13" s="5" t="s">
        <v>74</v>
      </c>
      <c r="G13" s="5" t="s">
        <v>280</v>
      </c>
      <c r="H13" s="40">
        <v>45915</v>
      </c>
      <c r="I13" s="40">
        <v>45925</v>
      </c>
    </row>
    <row r="14" spans="1:9" ht="32" x14ac:dyDescent="0.2">
      <c r="A14" s="36" t="s">
        <v>80</v>
      </c>
      <c r="B14" s="30" t="s">
        <v>82</v>
      </c>
      <c r="C14" s="31" t="s">
        <v>298</v>
      </c>
      <c r="D14" s="5" t="s">
        <v>53</v>
      </c>
      <c r="E14" s="29" t="s">
        <v>65</v>
      </c>
      <c r="F14" s="29" t="s">
        <v>287</v>
      </c>
      <c r="G14" s="5" t="s">
        <v>296</v>
      </c>
      <c r="H14" s="40">
        <v>45915</v>
      </c>
      <c r="I14" s="40">
        <v>46096</v>
      </c>
    </row>
    <row r="15" spans="1:9" ht="48" x14ac:dyDescent="0.2">
      <c r="A15" s="23" t="s">
        <v>307</v>
      </c>
      <c r="B15" s="30" t="s">
        <v>308</v>
      </c>
      <c r="C15" s="31" t="s">
        <v>298</v>
      </c>
      <c r="D15" s="5" t="s">
        <v>53</v>
      </c>
      <c r="E15" s="5"/>
      <c r="F15" s="29" t="s">
        <v>286</v>
      </c>
      <c r="G15" s="5" t="s">
        <v>296</v>
      </c>
      <c r="H15" s="40">
        <v>45915</v>
      </c>
      <c r="I15" s="40">
        <v>46096</v>
      </c>
    </row>
    <row r="16" spans="1:9" ht="16" x14ac:dyDescent="0.2">
      <c r="A16" s="37" t="s">
        <v>83</v>
      </c>
      <c r="B16" s="30" t="s">
        <v>301</v>
      </c>
      <c r="C16" s="29" t="s">
        <v>300</v>
      </c>
      <c r="D16" s="29" t="s">
        <v>74</v>
      </c>
      <c r="E16" s="29" t="s">
        <v>84</v>
      </c>
      <c r="F16" s="29" t="s">
        <v>302</v>
      </c>
      <c r="G16" s="5" t="s">
        <v>280</v>
      </c>
      <c r="H16" s="40">
        <v>45915</v>
      </c>
      <c r="I16" s="40">
        <v>45930</v>
      </c>
    </row>
    <row r="17" spans="1:9" ht="32" x14ac:dyDescent="0.2">
      <c r="A17" s="37" t="s">
        <v>83</v>
      </c>
      <c r="B17" s="30" t="s">
        <v>86</v>
      </c>
      <c r="C17" s="5" t="s">
        <v>303</v>
      </c>
      <c r="D17" s="29" t="s">
        <v>53</v>
      </c>
      <c r="E17" s="29" t="s">
        <v>300</v>
      </c>
      <c r="F17" s="29" t="s">
        <v>286</v>
      </c>
      <c r="G17" s="29" t="s">
        <v>304</v>
      </c>
      <c r="H17" s="40">
        <v>45915</v>
      </c>
      <c r="I17" s="40">
        <v>46096</v>
      </c>
    </row>
    <row r="18" spans="1:9" ht="32" x14ac:dyDescent="0.2">
      <c r="A18" s="23" t="s">
        <v>62</v>
      </c>
      <c r="B18" s="30" t="s">
        <v>289</v>
      </c>
      <c r="C18" s="5" t="s">
        <v>87</v>
      </c>
      <c r="D18" s="5" t="s">
        <v>65</v>
      </c>
      <c r="E18" s="5"/>
      <c r="F18" s="29" t="s">
        <v>305</v>
      </c>
      <c r="G18" s="5" t="s">
        <v>296</v>
      </c>
      <c r="H18" s="40">
        <v>45931</v>
      </c>
      <c r="I18" s="40">
        <v>46112</v>
      </c>
    </row>
    <row r="19" spans="1:9" ht="32" x14ac:dyDescent="0.2">
      <c r="A19" s="41" t="s">
        <v>89</v>
      </c>
      <c r="B19" s="37" t="s">
        <v>310</v>
      </c>
      <c r="C19" s="29" t="s">
        <v>309</v>
      </c>
      <c r="D19" s="29" t="s">
        <v>74</v>
      </c>
      <c r="E19" s="29" t="s">
        <v>65</v>
      </c>
      <c r="F19" s="29" t="s">
        <v>306</v>
      </c>
      <c r="G19" s="5" t="s">
        <v>280</v>
      </c>
      <c r="H19" s="40">
        <v>45915</v>
      </c>
      <c r="I19" s="40">
        <v>45945</v>
      </c>
    </row>
    <row r="20" spans="1:9" ht="32" x14ac:dyDescent="0.2">
      <c r="A20" s="41" t="s">
        <v>89</v>
      </c>
      <c r="B20" s="37" t="s">
        <v>90</v>
      </c>
      <c r="C20" s="29" t="s">
        <v>311</v>
      </c>
      <c r="D20" s="29" t="s">
        <v>87</v>
      </c>
      <c r="E20" s="29" t="s">
        <v>312</v>
      </c>
      <c r="F20" s="29" t="s">
        <v>313</v>
      </c>
      <c r="G20" s="5" t="s">
        <v>296</v>
      </c>
      <c r="H20" s="40">
        <v>45946</v>
      </c>
      <c r="I20" s="40">
        <v>46112</v>
      </c>
    </row>
    <row r="21" spans="1:9" ht="28.75" customHeight="1" x14ac:dyDescent="0.2">
      <c r="A21" s="35" t="s">
        <v>92</v>
      </c>
      <c r="B21" s="39" t="s">
        <v>93</v>
      </c>
      <c r="C21" s="29" t="s">
        <v>71</v>
      </c>
      <c r="D21" s="29" t="s">
        <v>74</v>
      </c>
      <c r="E21" s="29" t="s">
        <v>84</v>
      </c>
      <c r="F21" s="29" t="s">
        <v>77</v>
      </c>
      <c r="G21" s="5" t="s">
        <v>280</v>
      </c>
      <c r="H21" s="40">
        <v>45915</v>
      </c>
      <c r="I21" s="40">
        <v>45945</v>
      </c>
    </row>
    <row r="22" spans="1:9" ht="16" x14ac:dyDescent="0.2">
      <c r="A22" s="35" t="s">
        <v>92</v>
      </c>
      <c r="B22" s="30" t="s">
        <v>94</v>
      </c>
      <c r="C22" s="29" t="s">
        <v>74</v>
      </c>
      <c r="D22" s="29" t="s">
        <v>74</v>
      </c>
      <c r="E22" s="29" t="s">
        <v>84</v>
      </c>
      <c r="F22" s="29" t="s">
        <v>292</v>
      </c>
      <c r="G22" s="5" t="s">
        <v>280</v>
      </c>
      <c r="H22" s="40">
        <v>45915</v>
      </c>
      <c r="I22" s="40">
        <v>45945</v>
      </c>
    </row>
    <row r="23" spans="1:9" ht="16" x14ac:dyDescent="0.2">
      <c r="A23" s="35" t="s">
        <v>92</v>
      </c>
      <c r="B23" s="30" t="s">
        <v>95</v>
      </c>
      <c r="C23" s="29" t="s">
        <v>73</v>
      </c>
      <c r="D23" s="29" t="s">
        <v>53</v>
      </c>
      <c r="E23" s="29" t="s">
        <v>74</v>
      </c>
      <c r="F23" s="29" t="s">
        <v>292</v>
      </c>
      <c r="G23" s="5" t="s">
        <v>296</v>
      </c>
      <c r="H23" s="40">
        <v>45946</v>
      </c>
      <c r="I23" s="40">
        <v>46112</v>
      </c>
    </row>
    <row r="24" spans="1:9" ht="16" x14ac:dyDescent="0.2">
      <c r="A24" s="35" t="s">
        <v>92</v>
      </c>
      <c r="B24" s="30" t="s">
        <v>315</v>
      </c>
      <c r="C24" s="29" t="s">
        <v>73</v>
      </c>
      <c r="D24" s="29" t="s">
        <v>53</v>
      </c>
      <c r="E24" s="29" t="s">
        <v>74</v>
      </c>
      <c r="F24" s="29" t="s">
        <v>292</v>
      </c>
      <c r="G24" s="5" t="s">
        <v>296</v>
      </c>
      <c r="H24" s="40">
        <v>45946</v>
      </c>
      <c r="I24" s="40">
        <v>46112</v>
      </c>
    </row>
    <row r="25" spans="1:9" ht="32" x14ac:dyDescent="0.2">
      <c r="A25" s="35" t="s">
        <v>59</v>
      </c>
      <c r="B25" s="30" t="s">
        <v>97</v>
      </c>
      <c r="C25" s="5" t="s">
        <v>99</v>
      </c>
      <c r="D25" s="5" t="s">
        <v>99</v>
      </c>
      <c r="E25" s="28" t="s">
        <v>316</v>
      </c>
      <c r="F25" s="28" t="s">
        <v>317</v>
      </c>
      <c r="G25" s="5" t="s">
        <v>296</v>
      </c>
      <c r="H25" s="40">
        <v>45946</v>
      </c>
      <c r="I25" s="40">
        <v>46132</v>
      </c>
    </row>
    <row r="26" spans="1:9" ht="16" x14ac:dyDescent="0.2">
      <c r="A26" s="35" t="s">
        <v>59</v>
      </c>
      <c r="B26" s="30" t="s">
        <v>98</v>
      </c>
      <c r="C26" s="31" t="s">
        <v>99</v>
      </c>
      <c r="D26" s="31" t="s">
        <v>99</v>
      </c>
      <c r="E26" s="31" t="s">
        <v>318</v>
      </c>
      <c r="F26" s="31" t="s">
        <v>319</v>
      </c>
      <c r="G26" s="5" t="s">
        <v>296</v>
      </c>
      <c r="H26" s="40">
        <v>45946</v>
      </c>
      <c r="I26" s="40">
        <v>46132</v>
      </c>
    </row>
    <row r="27" spans="1:9" ht="32" x14ac:dyDescent="0.2">
      <c r="A27" s="35" t="s">
        <v>59</v>
      </c>
      <c r="B27" s="30" t="s">
        <v>100</v>
      </c>
      <c r="C27" s="31" t="s">
        <v>87</v>
      </c>
      <c r="D27" s="31" t="s">
        <v>65</v>
      </c>
      <c r="E27" s="31" t="s">
        <v>99</v>
      </c>
      <c r="F27" s="31" t="s">
        <v>320</v>
      </c>
      <c r="G27" s="5" t="s">
        <v>296</v>
      </c>
      <c r="H27" s="40">
        <v>45946</v>
      </c>
      <c r="I27" s="40">
        <v>46132</v>
      </c>
    </row>
    <row r="28" spans="1:9" ht="80" x14ac:dyDescent="0.2">
      <c r="A28" s="35" t="s">
        <v>59</v>
      </c>
      <c r="B28" s="30" t="s">
        <v>290</v>
      </c>
      <c r="C28" s="31" t="s">
        <v>99</v>
      </c>
      <c r="D28" s="31" t="s">
        <v>61</v>
      </c>
      <c r="E28" s="31" t="s">
        <v>101</v>
      </c>
      <c r="F28" s="31" t="s">
        <v>319</v>
      </c>
      <c r="G28" s="5" t="s">
        <v>296</v>
      </c>
      <c r="H28" s="40">
        <v>45946</v>
      </c>
      <c r="I28" s="40">
        <v>46132</v>
      </c>
    </row>
    <row r="29" spans="1:9" ht="32" x14ac:dyDescent="0.2">
      <c r="A29" s="23" t="s">
        <v>102</v>
      </c>
      <c r="B29" s="36" t="s">
        <v>104</v>
      </c>
      <c r="C29" s="5" t="s">
        <v>103</v>
      </c>
      <c r="D29" s="5" t="s">
        <v>103</v>
      </c>
      <c r="E29" s="5" t="s">
        <v>99</v>
      </c>
      <c r="F29" s="5" t="s">
        <v>321</v>
      </c>
      <c r="G29" s="29" t="s">
        <v>322</v>
      </c>
      <c r="H29" s="40">
        <v>46007</v>
      </c>
      <c r="I29" s="40">
        <v>46219</v>
      </c>
    </row>
    <row r="30" spans="1:9" ht="32" x14ac:dyDescent="0.2">
      <c r="A30" s="23" t="s">
        <v>149</v>
      </c>
      <c r="B30" s="37" t="s">
        <v>150</v>
      </c>
      <c r="C30" s="5" t="s">
        <v>74</v>
      </c>
      <c r="D30" s="5" t="s">
        <v>74</v>
      </c>
      <c r="E30" s="29" t="s">
        <v>323</v>
      </c>
      <c r="F30" s="5" t="s">
        <v>279</v>
      </c>
      <c r="G30" s="5" t="s">
        <v>296</v>
      </c>
      <c r="H30" s="40">
        <v>45912</v>
      </c>
      <c r="I30" s="40">
        <v>46142</v>
      </c>
    </row>
    <row r="31" spans="1:9" ht="48" x14ac:dyDescent="0.2">
      <c r="A31" s="30" t="s">
        <v>105</v>
      </c>
      <c r="B31" s="27" t="s">
        <v>325</v>
      </c>
      <c r="C31" s="29" t="s">
        <v>303</v>
      </c>
      <c r="D31" s="29" t="s">
        <v>74</v>
      </c>
      <c r="E31" s="29" t="s">
        <v>71</v>
      </c>
      <c r="F31" s="29" t="s">
        <v>324</v>
      </c>
      <c r="G31" s="29" t="s">
        <v>152</v>
      </c>
      <c r="H31" s="40">
        <v>45946</v>
      </c>
      <c r="I31" s="40">
        <v>46112</v>
      </c>
    </row>
    <row r="32" spans="1:9" ht="16" x14ac:dyDescent="0.2">
      <c r="A32" s="37" t="s">
        <v>106</v>
      </c>
      <c r="B32" s="30" t="s">
        <v>107</v>
      </c>
      <c r="C32" s="31" t="s">
        <v>91</v>
      </c>
      <c r="D32" s="31" t="s">
        <v>91</v>
      </c>
      <c r="E32" s="31" t="s">
        <v>74</v>
      </c>
      <c r="F32" s="31" t="s">
        <v>326</v>
      </c>
      <c r="G32" s="31" t="s">
        <v>151</v>
      </c>
      <c r="H32" s="40">
        <v>45915</v>
      </c>
      <c r="I32" s="40">
        <v>46112</v>
      </c>
    </row>
    <row r="33" spans="1:9" ht="32" x14ac:dyDescent="0.2">
      <c r="A33" s="37" t="s">
        <v>147</v>
      </c>
      <c r="B33" s="30" t="s">
        <v>148</v>
      </c>
      <c r="C33" s="31" t="s">
        <v>327</v>
      </c>
      <c r="D33" s="31" t="s">
        <v>74</v>
      </c>
      <c r="E33" s="31" t="s">
        <v>328</v>
      </c>
      <c r="F33" s="31" t="s">
        <v>329</v>
      </c>
      <c r="G33" s="31" t="s">
        <v>175</v>
      </c>
      <c r="H33" s="40">
        <v>45931</v>
      </c>
      <c r="I33" s="40">
        <v>46112</v>
      </c>
    </row>
    <row r="34" spans="1:9" ht="48" x14ac:dyDescent="0.2">
      <c r="A34" s="37" t="s">
        <v>333</v>
      </c>
      <c r="B34" s="30" t="s">
        <v>330</v>
      </c>
      <c r="C34" s="31" t="s">
        <v>74</v>
      </c>
      <c r="D34" s="31" t="s">
        <v>74</v>
      </c>
      <c r="E34" s="31" t="s">
        <v>331</v>
      </c>
      <c r="F34" s="31" t="s">
        <v>84</v>
      </c>
      <c r="G34" s="5" t="s">
        <v>151</v>
      </c>
      <c r="H34" s="40">
        <v>45931</v>
      </c>
      <c r="I34" s="40">
        <v>46112</v>
      </c>
    </row>
    <row r="35" spans="1:9" ht="17" x14ac:dyDescent="0.2">
      <c r="A35" s="23" t="s">
        <v>108</v>
      </c>
      <c r="B35" s="30" t="s">
        <v>109</v>
      </c>
      <c r="C35" s="29" t="s">
        <v>110</v>
      </c>
      <c r="D35" s="29" t="s">
        <v>110</v>
      </c>
      <c r="E35" s="29" t="s">
        <v>68</v>
      </c>
      <c r="F35" s="29" t="s">
        <v>111</v>
      </c>
      <c r="G35" s="5" t="s">
        <v>151</v>
      </c>
      <c r="H35" s="40">
        <v>45931</v>
      </c>
      <c r="I35" s="40">
        <v>46112</v>
      </c>
    </row>
    <row r="36" spans="1:9" ht="16" x14ac:dyDescent="0.2">
      <c r="A36" s="23" t="s">
        <v>108</v>
      </c>
      <c r="B36" s="30" t="s">
        <v>112</v>
      </c>
      <c r="C36" s="29" t="s">
        <v>113</v>
      </c>
      <c r="D36" s="29" t="s">
        <v>74</v>
      </c>
      <c r="E36" s="29" t="s">
        <v>292</v>
      </c>
      <c r="F36" s="29" t="s">
        <v>84</v>
      </c>
      <c r="G36" s="5" t="s">
        <v>332</v>
      </c>
      <c r="H36" s="40">
        <v>46096</v>
      </c>
      <c r="I36" s="40">
        <v>46112</v>
      </c>
    </row>
    <row r="37" spans="1:9" ht="32" x14ac:dyDescent="0.2">
      <c r="A37" s="23" t="s">
        <v>114</v>
      </c>
      <c r="B37" s="30" t="s">
        <v>115</v>
      </c>
      <c r="C37" s="29" t="s">
        <v>85</v>
      </c>
      <c r="D37" s="29" t="s">
        <v>74</v>
      </c>
      <c r="E37" s="29" t="s">
        <v>116</v>
      </c>
      <c r="F37" s="29" t="s">
        <v>84</v>
      </c>
      <c r="G37" s="5" t="s">
        <v>280</v>
      </c>
      <c r="H37" s="40">
        <v>46096</v>
      </c>
      <c r="I37" s="40">
        <v>46112</v>
      </c>
    </row>
  </sheetData>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workbookViewId="0">
      <pane xSplit="2" ySplit="1" topLeftCell="C5" activePane="bottomRight" state="frozen"/>
      <selection pane="topRight" activeCell="C1" sqref="C1"/>
      <selection pane="bottomLeft" activeCell="A2" sqref="A2"/>
      <selection pane="bottomRight" activeCell="G8" sqref="G8:G10"/>
    </sheetView>
  </sheetViews>
  <sheetFormatPr baseColWidth="10" defaultColWidth="8.83203125" defaultRowHeight="15" x14ac:dyDescent="0.2"/>
  <cols>
    <col min="1" max="1" width="16.1640625" customWidth="1"/>
    <col min="2" max="2" width="13.83203125" customWidth="1"/>
    <col min="3" max="3" width="26" customWidth="1"/>
    <col min="4" max="4" width="12.5" bestFit="1" customWidth="1"/>
    <col min="5" max="5" width="24.6640625" customWidth="1"/>
    <col min="6" max="6" width="51.6640625" customWidth="1"/>
    <col min="7" max="7" width="49.83203125" customWidth="1"/>
  </cols>
  <sheetData>
    <row r="1" spans="1:7" ht="16" x14ac:dyDescent="0.2">
      <c r="A1" s="10" t="s">
        <v>137</v>
      </c>
      <c r="B1" s="10" t="s">
        <v>138</v>
      </c>
      <c r="C1" s="10" t="s">
        <v>139</v>
      </c>
      <c r="D1" s="10" t="s">
        <v>140</v>
      </c>
      <c r="E1" s="10" t="s">
        <v>141</v>
      </c>
      <c r="F1" s="10" t="s">
        <v>142</v>
      </c>
      <c r="G1" s="1" t="s">
        <v>143</v>
      </c>
    </row>
    <row r="2" spans="1:7" ht="44.5" customHeight="1" x14ac:dyDescent="0.2">
      <c r="A2" s="49" t="s">
        <v>144</v>
      </c>
      <c r="B2" s="50" t="s">
        <v>145</v>
      </c>
      <c r="C2" s="23" t="s">
        <v>226</v>
      </c>
      <c r="D2" s="5">
        <v>1</v>
      </c>
      <c r="E2" s="5">
        <v>7</v>
      </c>
      <c r="F2" s="47" t="s">
        <v>269</v>
      </c>
      <c r="G2" s="51" t="s">
        <v>270</v>
      </c>
    </row>
    <row r="3" spans="1:7" ht="44.5" customHeight="1" x14ac:dyDescent="0.2">
      <c r="A3" s="49"/>
      <c r="B3" s="50"/>
      <c r="C3" s="23" t="s">
        <v>227</v>
      </c>
      <c r="D3" s="5">
        <v>1</v>
      </c>
      <c r="E3" s="5">
        <v>7</v>
      </c>
      <c r="F3" s="47"/>
      <c r="G3" s="51"/>
    </row>
    <row r="4" spans="1:7" ht="72.5" customHeight="1" x14ac:dyDescent="0.2">
      <c r="A4" s="49"/>
      <c r="B4" s="50"/>
      <c r="C4" s="23" t="s">
        <v>146</v>
      </c>
      <c r="D4" s="5">
        <v>1</v>
      </c>
      <c r="E4" s="5">
        <v>7</v>
      </c>
      <c r="F4" s="47"/>
      <c r="G4" s="51"/>
    </row>
    <row r="5" spans="1:7" ht="52.25" customHeight="1" x14ac:dyDescent="0.2">
      <c r="A5" s="49" t="s">
        <v>224</v>
      </c>
      <c r="B5" s="50" t="s">
        <v>225</v>
      </c>
      <c r="C5" s="23" t="s">
        <v>226</v>
      </c>
      <c r="D5" s="5">
        <v>1</v>
      </c>
      <c r="E5" s="5">
        <v>7</v>
      </c>
      <c r="F5" s="47" t="s">
        <v>229</v>
      </c>
      <c r="G5" s="52" t="s">
        <v>273</v>
      </c>
    </row>
    <row r="6" spans="1:7" ht="39" customHeight="1" x14ac:dyDescent="0.2">
      <c r="A6" s="49"/>
      <c r="B6" s="50"/>
      <c r="C6" s="23" t="s">
        <v>227</v>
      </c>
      <c r="D6" s="5">
        <v>1</v>
      </c>
      <c r="E6" s="5">
        <v>7</v>
      </c>
      <c r="F6" s="47"/>
      <c r="G6" s="52"/>
    </row>
    <row r="7" spans="1:7" ht="37.25" customHeight="1" x14ac:dyDescent="0.2">
      <c r="A7" s="49"/>
      <c r="B7" s="50"/>
      <c r="C7" s="23" t="s">
        <v>146</v>
      </c>
      <c r="D7" s="5">
        <v>1</v>
      </c>
      <c r="E7" s="5">
        <v>7</v>
      </c>
      <c r="F7" s="47"/>
      <c r="G7" s="52"/>
    </row>
    <row r="8" spans="1:7" ht="48.5" customHeight="1" x14ac:dyDescent="0.2">
      <c r="A8" s="49" t="s">
        <v>87</v>
      </c>
      <c r="B8" s="50" t="s">
        <v>145</v>
      </c>
      <c r="C8" s="23" t="s">
        <v>226</v>
      </c>
      <c r="D8" s="5">
        <v>4</v>
      </c>
      <c r="E8" s="5">
        <v>6</v>
      </c>
      <c r="F8" s="47" t="s">
        <v>228</v>
      </c>
      <c r="G8" s="47" t="s">
        <v>274</v>
      </c>
    </row>
    <row r="9" spans="1:7" ht="41.5" customHeight="1" x14ac:dyDescent="0.2">
      <c r="A9" s="49"/>
      <c r="B9" s="50"/>
      <c r="C9" s="23" t="s">
        <v>227</v>
      </c>
      <c r="D9" s="5">
        <v>4</v>
      </c>
      <c r="E9" s="5">
        <v>6</v>
      </c>
      <c r="F9" s="47"/>
      <c r="G9" s="47"/>
    </row>
    <row r="10" spans="1:7" ht="40.75" customHeight="1" x14ac:dyDescent="0.2">
      <c r="A10" s="49"/>
      <c r="B10" s="50"/>
      <c r="C10" s="23" t="s">
        <v>146</v>
      </c>
      <c r="D10" s="5">
        <v>4</v>
      </c>
      <c r="E10" s="5">
        <v>6</v>
      </c>
      <c r="F10" s="47"/>
      <c r="G10" s="47"/>
    </row>
    <row r="11" spans="1:7" ht="27" customHeight="1" x14ac:dyDescent="0.2">
      <c r="A11" s="49" t="s">
        <v>70</v>
      </c>
      <c r="B11" s="50" t="s">
        <v>145</v>
      </c>
      <c r="C11" s="23" t="s">
        <v>226</v>
      </c>
      <c r="D11" s="5">
        <v>1</v>
      </c>
      <c r="E11" s="5">
        <v>7</v>
      </c>
      <c r="F11" s="48" t="s">
        <v>271</v>
      </c>
      <c r="G11" s="47" t="s">
        <v>272</v>
      </c>
    </row>
    <row r="12" spans="1:7" ht="28.25" customHeight="1" x14ac:dyDescent="0.2">
      <c r="A12" s="49"/>
      <c r="B12" s="50"/>
      <c r="C12" s="23" t="s">
        <v>227</v>
      </c>
      <c r="D12" s="5">
        <v>1</v>
      </c>
      <c r="E12" s="5">
        <v>7</v>
      </c>
      <c r="F12" s="48"/>
      <c r="G12" s="47"/>
    </row>
    <row r="13" spans="1:7" ht="44.5" customHeight="1" x14ac:dyDescent="0.2">
      <c r="A13" s="49"/>
      <c r="B13" s="50"/>
      <c r="C13" s="23" t="s">
        <v>146</v>
      </c>
      <c r="D13" s="5">
        <v>1</v>
      </c>
      <c r="E13" s="5">
        <v>7</v>
      </c>
      <c r="F13" s="48"/>
      <c r="G13" s="47"/>
    </row>
  </sheetData>
  <mergeCells count="16">
    <mergeCell ref="F8:F10"/>
    <mergeCell ref="G8:G10"/>
    <mergeCell ref="G11:G13"/>
    <mergeCell ref="F11:F13"/>
    <mergeCell ref="A2:A4"/>
    <mergeCell ref="B2:B4"/>
    <mergeCell ref="G2:G4"/>
    <mergeCell ref="F2:F4"/>
    <mergeCell ref="A5:A7"/>
    <mergeCell ref="B5:B7"/>
    <mergeCell ref="F5:F7"/>
    <mergeCell ref="G5:G7"/>
    <mergeCell ref="A8:A10"/>
    <mergeCell ref="B8:B10"/>
    <mergeCell ref="A11:A13"/>
    <mergeCell ref="B11:B13"/>
  </mergeCells>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19"/>
  <sheetViews>
    <sheetView showGridLines="0" workbookViewId="0">
      <selection activeCell="D17" sqref="D17"/>
    </sheetView>
  </sheetViews>
  <sheetFormatPr baseColWidth="10" defaultColWidth="45.83203125" defaultRowHeight="15" x14ac:dyDescent="0.2"/>
  <cols>
    <col min="1" max="1" width="7.6640625" customWidth="1"/>
    <col min="2" max="2" width="20.5" bestFit="1" customWidth="1"/>
    <col min="3" max="3" width="54.5" customWidth="1"/>
  </cols>
  <sheetData>
    <row r="1" spans="2:3" ht="16" thickBot="1" x14ac:dyDescent="0.25"/>
    <row r="2" spans="2:3" ht="17" thickBot="1" x14ac:dyDescent="0.25">
      <c r="B2" s="15" t="s">
        <v>244</v>
      </c>
      <c r="C2" s="16" t="s">
        <v>1</v>
      </c>
    </row>
    <row r="3" spans="2:3" ht="17" thickBot="1" x14ac:dyDescent="0.25">
      <c r="B3" s="17" t="s">
        <v>245</v>
      </c>
      <c r="C3" s="18" t="s">
        <v>21</v>
      </c>
    </row>
    <row r="4" spans="2:3" ht="17" thickBot="1" x14ac:dyDescent="0.25">
      <c r="B4" s="17" t="s">
        <v>246</v>
      </c>
      <c r="C4" s="18" t="s">
        <v>247</v>
      </c>
    </row>
    <row r="5" spans="2:3" ht="17" thickBot="1" x14ac:dyDescent="0.25">
      <c r="B5" s="17" t="s">
        <v>248</v>
      </c>
      <c r="C5" s="18" t="s">
        <v>249</v>
      </c>
    </row>
    <row r="6" spans="2:3" ht="17" thickBot="1" x14ac:dyDescent="0.25">
      <c r="B6" s="17" t="s">
        <v>250</v>
      </c>
      <c r="C6" s="18" t="s">
        <v>251</v>
      </c>
    </row>
    <row r="7" spans="2:3" ht="16" x14ac:dyDescent="0.2">
      <c r="B7" s="53" t="s">
        <v>252</v>
      </c>
      <c r="C7" s="19" t="s">
        <v>253</v>
      </c>
    </row>
    <row r="8" spans="2:3" ht="16" x14ac:dyDescent="0.2">
      <c r="B8" s="54"/>
      <c r="C8" s="20" t="s">
        <v>254</v>
      </c>
    </row>
    <row r="9" spans="2:3" ht="16" x14ac:dyDescent="0.2">
      <c r="B9" s="54"/>
      <c r="C9" s="20" t="s">
        <v>255</v>
      </c>
    </row>
    <row r="10" spans="2:3" ht="16" x14ac:dyDescent="0.2">
      <c r="B10" s="54"/>
      <c r="C10" s="20" t="s">
        <v>256</v>
      </c>
    </row>
    <row r="11" spans="2:3" ht="16" x14ac:dyDescent="0.2">
      <c r="B11" s="54"/>
      <c r="C11" s="20" t="s">
        <v>257</v>
      </c>
    </row>
    <row r="12" spans="2:3" ht="16" x14ac:dyDescent="0.2">
      <c r="B12" s="54"/>
      <c r="C12" s="20" t="s">
        <v>258</v>
      </c>
    </row>
    <row r="13" spans="2:3" ht="16" x14ac:dyDescent="0.2">
      <c r="B13" s="54"/>
      <c r="C13" s="20" t="s">
        <v>259</v>
      </c>
    </row>
    <row r="14" spans="2:3" ht="16" x14ac:dyDescent="0.2">
      <c r="B14" s="54"/>
      <c r="C14" s="20" t="s">
        <v>260</v>
      </c>
    </row>
    <row r="15" spans="2:3" ht="16" x14ac:dyDescent="0.2">
      <c r="B15" s="54"/>
      <c r="C15" s="20" t="s">
        <v>261</v>
      </c>
    </row>
    <row r="16" spans="2:3" ht="16" x14ac:dyDescent="0.2">
      <c r="B16" s="54"/>
      <c r="C16" s="20" t="s">
        <v>262</v>
      </c>
    </row>
    <row r="17" spans="2:3" ht="16" x14ac:dyDescent="0.2">
      <c r="B17" s="54"/>
      <c r="C17" s="20" t="s">
        <v>263</v>
      </c>
    </row>
    <row r="18" spans="2:3" ht="16" x14ac:dyDescent="0.2">
      <c r="B18" s="54"/>
      <c r="C18" s="20" t="s">
        <v>264</v>
      </c>
    </row>
    <row r="19" spans="2:3" ht="17" thickBot="1" x14ac:dyDescent="0.25">
      <c r="B19" s="55"/>
      <c r="C19" s="21" t="s">
        <v>265</v>
      </c>
    </row>
  </sheetData>
  <mergeCells count="1">
    <mergeCell ref="B7:B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workbookViewId="0">
      <pane ySplit="1" topLeftCell="A2" activePane="bottomLeft" state="frozen"/>
      <selection pane="bottomLeft" activeCell="D1" sqref="D1"/>
    </sheetView>
  </sheetViews>
  <sheetFormatPr baseColWidth="10" defaultColWidth="16.5" defaultRowHeight="15" x14ac:dyDescent="0.2"/>
  <cols>
    <col min="1" max="1" width="15.1640625" bestFit="1" customWidth="1"/>
    <col min="2" max="2" width="40.1640625" bestFit="1" customWidth="1"/>
    <col min="3" max="3" width="25.83203125" customWidth="1"/>
    <col min="4" max="4" width="12.1640625" bestFit="1" customWidth="1"/>
  </cols>
  <sheetData>
    <row r="1" spans="1:4" ht="48" x14ac:dyDescent="0.2">
      <c r="A1" s="1" t="s">
        <v>275</v>
      </c>
      <c r="B1" s="1" t="s">
        <v>204</v>
      </c>
      <c r="C1" s="1" t="s">
        <v>191</v>
      </c>
      <c r="D1" s="1" t="s">
        <v>192</v>
      </c>
    </row>
    <row r="2" spans="1:4" ht="16" x14ac:dyDescent="0.2">
      <c r="A2" s="3" t="s">
        <v>193</v>
      </c>
      <c r="B2" s="3" t="s">
        <v>205</v>
      </c>
      <c r="C2" s="3" t="s">
        <v>206</v>
      </c>
      <c r="D2" s="3"/>
    </row>
    <row r="3" spans="1:4" ht="48" x14ac:dyDescent="0.2">
      <c r="A3" s="3" t="s">
        <v>194</v>
      </c>
      <c r="B3" s="3" t="s">
        <v>207</v>
      </c>
      <c r="C3" s="3" t="s">
        <v>208</v>
      </c>
      <c r="D3" s="3"/>
    </row>
    <row r="4" spans="1:4" ht="48" x14ac:dyDescent="0.2">
      <c r="A4" s="3" t="s">
        <v>195</v>
      </c>
      <c r="B4" s="3" t="s">
        <v>209</v>
      </c>
      <c r="C4" s="3" t="s">
        <v>196</v>
      </c>
      <c r="D4" s="3"/>
    </row>
    <row r="5" spans="1:4" ht="32" x14ac:dyDescent="0.2">
      <c r="A5" s="3" t="s">
        <v>197</v>
      </c>
      <c r="B5" s="3" t="s">
        <v>210</v>
      </c>
      <c r="C5" s="3" t="s">
        <v>211</v>
      </c>
      <c r="D5" s="3"/>
    </row>
    <row r="6" spans="1:4" ht="48" x14ac:dyDescent="0.2">
      <c r="A6" s="3" t="s">
        <v>198</v>
      </c>
      <c r="B6" s="3" t="s">
        <v>212</v>
      </c>
      <c r="C6" s="3" t="s">
        <v>213</v>
      </c>
      <c r="D6" s="3"/>
    </row>
    <row r="7" spans="1:4" ht="32" x14ac:dyDescent="0.2">
      <c r="A7" s="3" t="s">
        <v>80</v>
      </c>
      <c r="B7" s="3" t="s">
        <v>214</v>
      </c>
      <c r="C7" s="3" t="s">
        <v>215</v>
      </c>
      <c r="D7" s="3"/>
    </row>
    <row r="8" spans="1:4" ht="32" x14ac:dyDescent="0.2">
      <c r="A8" s="3" t="s">
        <v>199</v>
      </c>
      <c r="B8" s="3" t="s">
        <v>216</v>
      </c>
      <c r="C8" s="3" t="s">
        <v>217</v>
      </c>
      <c r="D8" s="3"/>
    </row>
    <row r="9" spans="1:4" ht="48" x14ac:dyDescent="0.2">
      <c r="A9" s="3" t="s">
        <v>218</v>
      </c>
      <c r="B9" s="3" t="s">
        <v>219</v>
      </c>
      <c r="C9" s="3" t="s">
        <v>220</v>
      </c>
      <c r="D9" s="3"/>
    </row>
    <row r="10" spans="1:4" ht="32" x14ac:dyDescent="0.2">
      <c r="A10" s="3" t="s">
        <v>200</v>
      </c>
      <c r="B10" s="3" t="s">
        <v>221</v>
      </c>
      <c r="C10" s="3" t="s">
        <v>222</v>
      </c>
      <c r="D10" s="3"/>
    </row>
    <row r="11" spans="1:4" ht="32" x14ac:dyDescent="0.2">
      <c r="A11" s="3" t="s">
        <v>201</v>
      </c>
      <c r="B11" s="3" t="s">
        <v>223</v>
      </c>
      <c r="C11" s="3" t="s">
        <v>203</v>
      </c>
      <c r="D11" s="3"/>
    </row>
    <row r="12" spans="1:4" ht="32" x14ac:dyDescent="0.2">
      <c r="A12" s="3" t="s">
        <v>201</v>
      </c>
      <c r="B12" s="3" t="s">
        <v>202</v>
      </c>
      <c r="C12" s="3" t="s">
        <v>203</v>
      </c>
      <c r="D12"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workbookViewId="0">
      <selection activeCell="E16" sqref="E16"/>
    </sheetView>
  </sheetViews>
  <sheetFormatPr baseColWidth="10" defaultColWidth="8.83203125" defaultRowHeight="15" x14ac:dyDescent="0.2"/>
  <cols>
    <col min="1" max="1" width="31.5" customWidth="1"/>
    <col min="2" max="2" width="19.1640625" customWidth="1"/>
    <col min="3" max="3" width="34.83203125" customWidth="1"/>
    <col min="4" max="4" width="31.1640625" customWidth="1"/>
    <col min="5" max="5" width="25.83203125" customWidth="1"/>
  </cols>
  <sheetData>
    <row r="1" spans="1:5" ht="16" x14ac:dyDescent="0.2">
      <c r="A1" s="1" t="s">
        <v>153</v>
      </c>
      <c r="B1" s="1" t="s">
        <v>154</v>
      </c>
      <c r="C1" s="1" t="s">
        <v>1</v>
      </c>
      <c r="D1" s="1" t="s">
        <v>155</v>
      </c>
      <c r="E1" s="1" t="s">
        <v>156</v>
      </c>
    </row>
    <row r="2" spans="1:5" ht="32" x14ac:dyDescent="0.2">
      <c r="A2" s="3" t="s">
        <v>157</v>
      </c>
      <c r="B2" s="3" t="s">
        <v>158</v>
      </c>
      <c r="C2" s="3" t="s">
        <v>159</v>
      </c>
      <c r="D2" s="3" t="s">
        <v>160</v>
      </c>
      <c r="E2" s="3" t="s">
        <v>161</v>
      </c>
    </row>
    <row r="3" spans="1:5" ht="32" x14ac:dyDescent="0.2">
      <c r="A3" s="3" t="s">
        <v>162</v>
      </c>
      <c r="B3" s="3" t="s">
        <v>163</v>
      </c>
      <c r="C3" s="3" t="s">
        <v>164</v>
      </c>
      <c r="D3" s="3" t="s">
        <v>165</v>
      </c>
      <c r="E3" s="3" t="s">
        <v>166</v>
      </c>
    </row>
    <row r="4" spans="1:5" ht="32" x14ac:dyDescent="0.2">
      <c r="A4" s="3" t="s">
        <v>167</v>
      </c>
      <c r="B4" s="3" t="s">
        <v>163</v>
      </c>
      <c r="C4" s="3" t="s">
        <v>168</v>
      </c>
      <c r="D4" s="3" t="s">
        <v>169</v>
      </c>
      <c r="E4" s="3" t="s">
        <v>170</v>
      </c>
    </row>
    <row r="5" spans="1:5" ht="32" x14ac:dyDescent="0.2">
      <c r="A5" s="3" t="s">
        <v>171</v>
      </c>
      <c r="B5" s="3" t="s">
        <v>172</v>
      </c>
      <c r="C5" s="3" t="s">
        <v>173</v>
      </c>
      <c r="D5" s="3" t="s">
        <v>174</v>
      </c>
      <c r="E5" s="3" t="s">
        <v>175</v>
      </c>
    </row>
    <row r="6" spans="1:5" ht="32" x14ac:dyDescent="0.2">
      <c r="A6" s="3" t="s">
        <v>176</v>
      </c>
      <c r="B6" s="3" t="s">
        <v>172</v>
      </c>
      <c r="C6" s="3" t="s">
        <v>177</v>
      </c>
      <c r="D6" s="3" t="s">
        <v>178</v>
      </c>
      <c r="E6" s="3" t="s">
        <v>179</v>
      </c>
    </row>
    <row r="7" spans="1:5" ht="32" x14ac:dyDescent="0.2">
      <c r="A7" s="3" t="s">
        <v>180</v>
      </c>
      <c r="B7" s="3" t="s">
        <v>163</v>
      </c>
      <c r="C7" s="3" t="s">
        <v>181</v>
      </c>
      <c r="D7" s="3" t="s">
        <v>182</v>
      </c>
      <c r="E7" s="3" t="s">
        <v>151</v>
      </c>
    </row>
    <row r="8" spans="1:5" ht="32" x14ac:dyDescent="0.2">
      <c r="A8" s="3" t="s">
        <v>183</v>
      </c>
      <c r="B8" s="3" t="s">
        <v>158</v>
      </c>
      <c r="C8" s="3" t="s">
        <v>184</v>
      </c>
      <c r="D8" s="3" t="s">
        <v>185</v>
      </c>
      <c r="E8" s="3" t="s">
        <v>186</v>
      </c>
    </row>
    <row r="9" spans="1:5" ht="32" x14ac:dyDescent="0.2">
      <c r="A9" s="3" t="s">
        <v>187</v>
      </c>
      <c r="B9" s="3" t="s">
        <v>172</v>
      </c>
      <c r="C9" s="3" t="s">
        <v>188</v>
      </c>
      <c r="D9" s="3" t="s">
        <v>189</v>
      </c>
      <c r="E9" s="3" t="s">
        <v>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5"/>
  <sheetViews>
    <sheetView workbookViewId="0">
      <selection activeCell="K26" sqref="K26"/>
    </sheetView>
  </sheetViews>
  <sheetFormatPr baseColWidth="10" defaultColWidth="8.83203125" defaultRowHeight="15" x14ac:dyDescent="0.2"/>
  <cols>
    <col min="1" max="2" width="9.83203125" bestFit="1" customWidth="1"/>
    <col min="3" max="3" width="8.5" bestFit="1" customWidth="1"/>
    <col min="4" max="4" width="25.1640625" bestFit="1" customWidth="1"/>
    <col min="5" max="6" width="9.6640625" bestFit="1" customWidth="1"/>
    <col min="7" max="7" width="9.5" bestFit="1" customWidth="1"/>
    <col min="8" max="8" width="8.6640625" bestFit="1" customWidth="1"/>
    <col min="9" max="9" width="5.33203125" bestFit="1" customWidth="1"/>
    <col min="10" max="10" width="8.5" bestFit="1" customWidth="1"/>
    <col min="11" max="12" width="9.6640625" bestFit="1" customWidth="1"/>
    <col min="13" max="13" width="7.83203125" bestFit="1" customWidth="1"/>
    <col min="14" max="15" width="9.6640625" bestFit="1" customWidth="1"/>
    <col min="16" max="16" width="8.1640625" bestFit="1" customWidth="1"/>
    <col min="17" max="18" width="9.6640625" bestFit="1" customWidth="1"/>
    <col min="19" max="19" width="8.6640625" bestFit="1" customWidth="1"/>
    <col min="20" max="21" width="9.6640625" bestFit="1" customWidth="1"/>
    <col min="22" max="22" width="8.83203125" bestFit="1" customWidth="1"/>
    <col min="23" max="23" width="8.5" bestFit="1" customWidth="1"/>
  </cols>
  <sheetData>
    <row r="1" spans="1:23" ht="51" x14ac:dyDescent="0.2">
      <c r="A1" s="8" t="s">
        <v>117</v>
      </c>
      <c r="B1" s="8" t="s">
        <v>139</v>
      </c>
      <c r="C1" s="8" t="s">
        <v>118</v>
      </c>
      <c r="D1" s="8" t="s">
        <v>119</v>
      </c>
      <c r="E1" s="8" t="s">
        <v>120</v>
      </c>
      <c r="F1" s="8" t="s">
        <v>121</v>
      </c>
      <c r="G1" s="8" t="s">
        <v>337</v>
      </c>
      <c r="H1" s="8" t="s">
        <v>338</v>
      </c>
      <c r="I1" s="8" t="s">
        <v>122</v>
      </c>
      <c r="J1" s="8" t="s">
        <v>123</v>
      </c>
      <c r="K1" s="8" t="s">
        <v>124</v>
      </c>
      <c r="L1" s="8" t="s">
        <v>125</v>
      </c>
      <c r="M1" s="8" t="s">
        <v>126</v>
      </c>
      <c r="N1" s="8" t="s">
        <v>127</v>
      </c>
      <c r="O1" s="8" t="s">
        <v>128</v>
      </c>
      <c r="P1" s="8" t="s">
        <v>129</v>
      </c>
      <c r="Q1" s="8" t="s">
        <v>130</v>
      </c>
      <c r="R1" s="8" t="s">
        <v>131</v>
      </c>
      <c r="S1" s="8" t="s">
        <v>132</v>
      </c>
      <c r="T1" s="8" t="s">
        <v>133</v>
      </c>
      <c r="U1" s="8" t="s">
        <v>134</v>
      </c>
      <c r="V1" s="8" t="s">
        <v>135</v>
      </c>
      <c r="W1" s="9" t="s">
        <v>136</v>
      </c>
    </row>
    <row r="2" spans="1:23" x14ac:dyDescent="0.2">
      <c r="A2" s="11" t="s">
        <v>242</v>
      </c>
      <c r="B2" s="11" t="s">
        <v>226</v>
      </c>
      <c r="C2" s="11" t="s">
        <v>243</v>
      </c>
      <c r="D2" s="11" t="s">
        <v>21</v>
      </c>
      <c r="E2" s="22">
        <v>45962</v>
      </c>
      <c r="F2" s="22">
        <f t="shared" ref="F2:F55" si="0">E2+30</f>
        <v>45992</v>
      </c>
      <c r="G2" s="22"/>
      <c r="H2" s="22"/>
      <c r="I2" s="11" t="s">
        <v>66</v>
      </c>
      <c r="J2" s="11" t="s">
        <v>66</v>
      </c>
      <c r="K2" s="22">
        <f t="shared" ref="K2:K55" si="1">E2-15</f>
        <v>45947</v>
      </c>
      <c r="L2" s="22">
        <f t="shared" ref="L2:L55" si="2">E2-5</f>
        <v>45957</v>
      </c>
      <c r="M2" s="11">
        <v>45</v>
      </c>
      <c r="N2" s="22">
        <f>L2+1</f>
        <v>45958</v>
      </c>
      <c r="O2" s="22">
        <f t="shared" ref="O2:O55" si="3">E2-1</f>
        <v>45961</v>
      </c>
      <c r="P2" s="11">
        <v>43</v>
      </c>
      <c r="Q2" s="22">
        <f t="shared" ref="Q2:Q55" si="4">F2-3</f>
        <v>45989</v>
      </c>
      <c r="R2" s="22">
        <f t="shared" ref="R2:R55" si="5">F2</f>
        <v>45992</v>
      </c>
      <c r="S2" s="11">
        <v>40</v>
      </c>
      <c r="T2" s="22">
        <f>R2+1</f>
        <v>45993</v>
      </c>
      <c r="U2" s="22">
        <f>T2+15</f>
        <v>46008</v>
      </c>
      <c r="V2" s="11">
        <v>20</v>
      </c>
      <c r="W2" s="11"/>
    </row>
    <row r="3" spans="1:23" x14ac:dyDescent="0.2">
      <c r="A3" s="11" t="s">
        <v>242</v>
      </c>
      <c r="B3" s="11" t="s">
        <v>226</v>
      </c>
      <c r="C3" s="11" t="s">
        <v>243</v>
      </c>
      <c r="D3" s="11" t="s">
        <v>21</v>
      </c>
      <c r="E3" s="22">
        <v>45962</v>
      </c>
      <c r="F3" s="22">
        <f t="shared" si="0"/>
        <v>45992</v>
      </c>
      <c r="G3" s="22"/>
      <c r="H3" s="22"/>
      <c r="I3" s="11" t="s">
        <v>66</v>
      </c>
      <c r="J3" s="11" t="s">
        <v>66</v>
      </c>
      <c r="K3" s="22">
        <f t="shared" si="1"/>
        <v>45947</v>
      </c>
      <c r="L3" s="22">
        <f t="shared" si="2"/>
        <v>45957</v>
      </c>
      <c r="M3" s="11">
        <v>45</v>
      </c>
      <c r="N3" s="22">
        <f t="shared" ref="N3:N5" si="6">L3+1</f>
        <v>45958</v>
      </c>
      <c r="O3" s="22">
        <f t="shared" si="3"/>
        <v>45961</v>
      </c>
      <c r="P3" s="11">
        <v>43</v>
      </c>
      <c r="Q3" s="22">
        <f t="shared" si="4"/>
        <v>45989</v>
      </c>
      <c r="R3" s="22">
        <f t="shared" si="5"/>
        <v>45992</v>
      </c>
      <c r="S3" s="11">
        <v>40</v>
      </c>
      <c r="T3" s="22">
        <f t="shared" ref="T3:T5" si="7">R3+1</f>
        <v>45993</v>
      </c>
      <c r="U3" s="22">
        <f t="shared" ref="U3:U49" si="8">T3+15</f>
        <v>46008</v>
      </c>
      <c r="V3" s="11">
        <v>20</v>
      </c>
      <c r="W3" s="11"/>
    </row>
    <row r="4" spans="1:23" x14ac:dyDescent="0.2">
      <c r="A4" s="11" t="s">
        <v>242</v>
      </c>
      <c r="B4" s="11" t="s">
        <v>226</v>
      </c>
      <c r="C4" s="11" t="s">
        <v>243</v>
      </c>
      <c r="D4" s="11" t="s">
        <v>21</v>
      </c>
      <c r="E4" s="22">
        <v>45992</v>
      </c>
      <c r="F4" s="22">
        <f t="shared" si="0"/>
        <v>46022</v>
      </c>
      <c r="G4" s="22"/>
      <c r="H4" s="22"/>
      <c r="I4" s="11" t="s">
        <v>66</v>
      </c>
      <c r="J4" s="11" t="s">
        <v>66</v>
      </c>
      <c r="K4" s="22">
        <f t="shared" si="1"/>
        <v>45977</v>
      </c>
      <c r="L4" s="22">
        <f t="shared" si="2"/>
        <v>45987</v>
      </c>
      <c r="M4" s="11">
        <v>45</v>
      </c>
      <c r="N4" s="22">
        <f t="shared" si="6"/>
        <v>45988</v>
      </c>
      <c r="O4" s="22">
        <f t="shared" si="3"/>
        <v>45991</v>
      </c>
      <c r="P4" s="11">
        <v>43</v>
      </c>
      <c r="Q4" s="22">
        <f t="shared" si="4"/>
        <v>46019</v>
      </c>
      <c r="R4" s="22">
        <f t="shared" si="5"/>
        <v>46022</v>
      </c>
      <c r="S4" s="11">
        <v>40</v>
      </c>
      <c r="T4" s="22">
        <f t="shared" si="7"/>
        <v>46023</v>
      </c>
      <c r="U4" s="22">
        <f t="shared" si="8"/>
        <v>46038</v>
      </c>
      <c r="V4" s="11">
        <v>20</v>
      </c>
      <c r="W4" s="11"/>
    </row>
    <row r="5" spans="1:23" x14ac:dyDescent="0.2">
      <c r="A5" s="11" t="s">
        <v>242</v>
      </c>
      <c r="B5" s="11" t="s">
        <v>226</v>
      </c>
      <c r="C5" s="11" t="s">
        <v>243</v>
      </c>
      <c r="D5" s="11" t="s">
        <v>21</v>
      </c>
      <c r="E5" s="22">
        <v>46023</v>
      </c>
      <c r="F5" s="22">
        <f t="shared" si="0"/>
        <v>46053</v>
      </c>
      <c r="G5" s="22"/>
      <c r="H5" s="22"/>
      <c r="I5" s="11" t="s">
        <v>66</v>
      </c>
      <c r="J5" s="11" t="s">
        <v>66</v>
      </c>
      <c r="K5" s="22">
        <f t="shared" si="1"/>
        <v>46008</v>
      </c>
      <c r="L5" s="22">
        <f t="shared" si="2"/>
        <v>46018</v>
      </c>
      <c r="M5" s="11">
        <v>45</v>
      </c>
      <c r="N5" s="22">
        <f t="shared" si="6"/>
        <v>46019</v>
      </c>
      <c r="O5" s="22">
        <f t="shared" si="3"/>
        <v>46022</v>
      </c>
      <c r="P5" s="11">
        <v>43</v>
      </c>
      <c r="Q5" s="22">
        <f t="shared" si="4"/>
        <v>46050</v>
      </c>
      <c r="R5" s="22">
        <f t="shared" si="5"/>
        <v>46053</v>
      </c>
      <c r="S5" s="11">
        <v>40</v>
      </c>
      <c r="T5" s="22">
        <f t="shared" si="7"/>
        <v>46054</v>
      </c>
      <c r="U5" s="22">
        <f t="shared" si="8"/>
        <v>46069</v>
      </c>
      <c r="V5" s="11">
        <v>20</v>
      </c>
      <c r="W5" s="11"/>
    </row>
    <row r="6" spans="1:23" x14ac:dyDescent="0.2">
      <c r="A6" s="11" t="s">
        <v>242</v>
      </c>
      <c r="B6" s="11" t="s">
        <v>226</v>
      </c>
      <c r="C6" s="11" t="s">
        <v>266</v>
      </c>
      <c r="D6" s="11" t="s">
        <v>21</v>
      </c>
      <c r="E6" s="22">
        <v>45992</v>
      </c>
      <c r="F6" s="22">
        <f t="shared" si="0"/>
        <v>46022</v>
      </c>
      <c r="G6" s="22"/>
      <c r="H6" s="22"/>
      <c r="I6" s="11" t="s">
        <v>66</v>
      </c>
      <c r="J6" s="11" t="s">
        <v>66</v>
      </c>
      <c r="K6" s="22">
        <f t="shared" si="1"/>
        <v>45977</v>
      </c>
      <c r="L6" s="22">
        <f t="shared" si="2"/>
        <v>45987</v>
      </c>
      <c r="M6" s="11">
        <v>45</v>
      </c>
      <c r="N6" s="22">
        <f>L6+1</f>
        <v>45988</v>
      </c>
      <c r="O6" s="22">
        <f t="shared" si="3"/>
        <v>45991</v>
      </c>
      <c r="P6" s="11">
        <v>43</v>
      </c>
      <c r="Q6" s="22">
        <f t="shared" si="4"/>
        <v>46019</v>
      </c>
      <c r="R6" s="22">
        <f t="shared" si="5"/>
        <v>46022</v>
      </c>
      <c r="S6" s="11">
        <v>40</v>
      </c>
      <c r="T6" s="22">
        <f>R6+1</f>
        <v>46023</v>
      </c>
      <c r="U6" s="22">
        <f>T6+15</f>
        <v>46038</v>
      </c>
      <c r="V6" s="11">
        <v>20</v>
      </c>
      <c r="W6" s="11"/>
    </row>
    <row r="7" spans="1:23" x14ac:dyDescent="0.2">
      <c r="A7" s="11" t="s">
        <v>242</v>
      </c>
      <c r="B7" s="11" t="s">
        <v>226</v>
      </c>
      <c r="C7" s="11" t="s">
        <v>266</v>
      </c>
      <c r="D7" s="11" t="s">
        <v>21</v>
      </c>
      <c r="E7" s="22">
        <v>45962</v>
      </c>
      <c r="F7" s="22">
        <f t="shared" si="0"/>
        <v>45992</v>
      </c>
      <c r="G7" s="22"/>
      <c r="H7" s="22"/>
      <c r="I7" s="11" t="s">
        <v>66</v>
      </c>
      <c r="J7" s="11" t="s">
        <v>66</v>
      </c>
      <c r="K7" s="22">
        <f t="shared" si="1"/>
        <v>45947</v>
      </c>
      <c r="L7" s="22">
        <f t="shared" si="2"/>
        <v>45957</v>
      </c>
      <c r="M7" s="11">
        <v>45</v>
      </c>
      <c r="N7" s="22">
        <f t="shared" ref="N7:N9" si="9">L7+1</f>
        <v>45958</v>
      </c>
      <c r="O7" s="22">
        <f t="shared" si="3"/>
        <v>45961</v>
      </c>
      <c r="P7" s="11">
        <v>43</v>
      </c>
      <c r="Q7" s="22">
        <f t="shared" si="4"/>
        <v>45989</v>
      </c>
      <c r="R7" s="22">
        <f t="shared" si="5"/>
        <v>45992</v>
      </c>
      <c r="S7" s="11">
        <v>40</v>
      </c>
      <c r="T7" s="22">
        <f t="shared" ref="T7:T9" si="10">R7+1</f>
        <v>45993</v>
      </c>
      <c r="U7" s="22">
        <f t="shared" si="8"/>
        <v>46008</v>
      </c>
      <c r="V7" s="11">
        <v>20</v>
      </c>
      <c r="W7" s="11"/>
    </row>
    <row r="8" spans="1:23" x14ac:dyDescent="0.2">
      <c r="A8" s="11" t="s">
        <v>242</v>
      </c>
      <c r="B8" s="11" t="s">
        <v>226</v>
      </c>
      <c r="C8" s="11" t="s">
        <v>266</v>
      </c>
      <c r="D8" s="11" t="s">
        <v>21</v>
      </c>
      <c r="E8" s="22">
        <v>45992</v>
      </c>
      <c r="F8" s="22">
        <f t="shared" si="0"/>
        <v>46022</v>
      </c>
      <c r="G8" s="22"/>
      <c r="H8" s="22"/>
      <c r="I8" s="11" t="s">
        <v>66</v>
      </c>
      <c r="J8" s="11" t="s">
        <v>66</v>
      </c>
      <c r="K8" s="22">
        <f t="shared" si="1"/>
        <v>45977</v>
      </c>
      <c r="L8" s="22">
        <f t="shared" si="2"/>
        <v>45987</v>
      </c>
      <c r="M8" s="11">
        <v>45</v>
      </c>
      <c r="N8" s="22">
        <f t="shared" si="9"/>
        <v>45988</v>
      </c>
      <c r="O8" s="22">
        <f t="shared" si="3"/>
        <v>45991</v>
      </c>
      <c r="P8" s="11">
        <v>43</v>
      </c>
      <c r="Q8" s="22">
        <f t="shared" si="4"/>
        <v>46019</v>
      </c>
      <c r="R8" s="22">
        <f t="shared" si="5"/>
        <v>46022</v>
      </c>
      <c r="S8" s="11">
        <v>40</v>
      </c>
      <c r="T8" s="22">
        <f t="shared" si="10"/>
        <v>46023</v>
      </c>
      <c r="U8" s="22">
        <f t="shared" si="8"/>
        <v>46038</v>
      </c>
      <c r="V8" s="11">
        <v>20</v>
      </c>
      <c r="W8" s="11"/>
    </row>
    <row r="9" spans="1:23" x14ac:dyDescent="0.2">
      <c r="A9" s="11" t="s">
        <v>242</v>
      </c>
      <c r="B9" s="11" t="s">
        <v>226</v>
      </c>
      <c r="C9" s="11" t="s">
        <v>266</v>
      </c>
      <c r="D9" s="11" t="s">
        <v>21</v>
      </c>
      <c r="E9" s="22">
        <v>46023</v>
      </c>
      <c r="F9" s="22">
        <f t="shared" si="0"/>
        <v>46053</v>
      </c>
      <c r="G9" s="22"/>
      <c r="H9" s="22"/>
      <c r="I9" s="11" t="s">
        <v>66</v>
      </c>
      <c r="J9" s="11" t="s">
        <v>66</v>
      </c>
      <c r="K9" s="22">
        <f t="shared" si="1"/>
        <v>46008</v>
      </c>
      <c r="L9" s="22">
        <f t="shared" si="2"/>
        <v>46018</v>
      </c>
      <c r="M9" s="11">
        <v>45</v>
      </c>
      <c r="N9" s="22">
        <f t="shared" si="9"/>
        <v>46019</v>
      </c>
      <c r="O9" s="22">
        <f t="shared" si="3"/>
        <v>46022</v>
      </c>
      <c r="P9" s="11">
        <v>43</v>
      </c>
      <c r="Q9" s="22">
        <f t="shared" si="4"/>
        <v>46050</v>
      </c>
      <c r="R9" s="22">
        <f t="shared" si="5"/>
        <v>46053</v>
      </c>
      <c r="S9" s="11">
        <v>40</v>
      </c>
      <c r="T9" s="22">
        <f t="shared" si="10"/>
        <v>46054</v>
      </c>
      <c r="U9" s="22">
        <f t="shared" si="8"/>
        <v>46069</v>
      </c>
      <c r="V9" s="11">
        <v>20</v>
      </c>
      <c r="W9" s="11"/>
    </row>
    <row r="10" spans="1:23" x14ac:dyDescent="0.2">
      <c r="A10" s="11" t="s">
        <v>242</v>
      </c>
      <c r="B10" s="11" t="s">
        <v>226</v>
      </c>
      <c r="C10" s="11" t="s">
        <v>267</v>
      </c>
      <c r="D10" s="11" t="s">
        <v>21</v>
      </c>
      <c r="E10" s="22">
        <v>46023</v>
      </c>
      <c r="F10" s="22">
        <f t="shared" si="0"/>
        <v>46053</v>
      </c>
      <c r="G10" s="22"/>
      <c r="H10" s="22"/>
      <c r="I10" s="11" t="s">
        <v>66</v>
      </c>
      <c r="J10" s="11" t="s">
        <v>66</v>
      </c>
      <c r="K10" s="22">
        <f t="shared" si="1"/>
        <v>46008</v>
      </c>
      <c r="L10" s="22">
        <f t="shared" si="2"/>
        <v>46018</v>
      </c>
      <c r="M10" s="11">
        <v>45</v>
      </c>
      <c r="N10" s="22">
        <f>L10+1</f>
        <v>46019</v>
      </c>
      <c r="O10" s="22">
        <f t="shared" si="3"/>
        <v>46022</v>
      </c>
      <c r="P10" s="11">
        <v>43</v>
      </c>
      <c r="Q10" s="22">
        <f t="shared" si="4"/>
        <v>46050</v>
      </c>
      <c r="R10" s="22">
        <f t="shared" si="5"/>
        <v>46053</v>
      </c>
      <c r="S10" s="11">
        <v>40</v>
      </c>
      <c r="T10" s="22">
        <f>R10+1</f>
        <v>46054</v>
      </c>
      <c r="U10" s="22">
        <f>T10+15</f>
        <v>46069</v>
      </c>
      <c r="V10" s="11">
        <v>20</v>
      </c>
      <c r="W10" s="11"/>
    </row>
    <row r="11" spans="1:23" x14ac:dyDescent="0.2">
      <c r="A11" s="11" t="s">
        <v>242</v>
      </c>
      <c r="B11" s="11" t="s">
        <v>226</v>
      </c>
      <c r="C11" s="11" t="s">
        <v>267</v>
      </c>
      <c r="D11" s="11" t="s">
        <v>21</v>
      </c>
      <c r="E11" s="22">
        <v>45962</v>
      </c>
      <c r="F11" s="22">
        <f t="shared" si="0"/>
        <v>45992</v>
      </c>
      <c r="G11" s="22"/>
      <c r="H11" s="22"/>
      <c r="I11" s="11" t="s">
        <v>66</v>
      </c>
      <c r="J11" s="11" t="s">
        <v>66</v>
      </c>
      <c r="K11" s="22">
        <f t="shared" si="1"/>
        <v>45947</v>
      </c>
      <c r="L11" s="22">
        <f t="shared" si="2"/>
        <v>45957</v>
      </c>
      <c r="M11" s="11">
        <v>45</v>
      </c>
      <c r="N11" s="22">
        <f t="shared" ref="N11:N13" si="11">L11+1</f>
        <v>45958</v>
      </c>
      <c r="O11" s="22">
        <f t="shared" si="3"/>
        <v>45961</v>
      </c>
      <c r="P11" s="11">
        <v>43</v>
      </c>
      <c r="Q11" s="22">
        <f t="shared" si="4"/>
        <v>45989</v>
      </c>
      <c r="R11" s="22">
        <f t="shared" si="5"/>
        <v>45992</v>
      </c>
      <c r="S11" s="11">
        <v>40</v>
      </c>
      <c r="T11" s="22">
        <f t="shared" ref="T11:T13" si="12">R11+1</f>
        <v>45993</v>
      </c>
      <c r="U11" s="22">
        <f t="shared" si="8"/>
        <v>46008</v>
      </c>
      <c r="V11" s="11">
        <v>20</v>
      </c>
      <c r="W11" s="11"/>
    </row>
    <row r="12" spans="1:23" x14ac:dyDescent="0.2">
      <c r="A12" s="11" t="s">
        <v>242</v>
      </c>
      <c r="B12" s="11" t="s">
        <v>226</v>
      </c>
      <c r="C12" s="11" t="s">
        <v>267</v>
      </c>
      <c r="D12" s="11" t="s">
        <v>21</v>
      </c>
      <c r="E12" s="22">
        <v>45992</v>
      </c>
      <c r="F12" s="22">
        <f t="shared" si="0"/>
        <v>46022</v>
      </c>
      <c r="G12" s="22"/>
      <c r="H12" s="22"/>
      <c r="I12" s="11" t="s">
        <v>66</v>
      </c>
      <c r="J12" s="11" t="s">
        <v>66</v>
      </c>
      <c r="K12" s="22">
        <f t="shared" si="1"/>
        <v>45977</v>
      </c>
      <c r="L12" s="22">
        <f t="shared" si="2"/>
        <v>45987</v>
      </c>
      <c r="M12" s="11">
        <v>45</v>
      </c>
      <c r="N12" s="22">
        <f t="shared" si="11"/>
        <v>45988</v>
      </c>
      <c r="O12" s="22">
        <f t="shared" si="3"/>
        <v>45991</v>
      </c>
      <c r="P12" s="11">
        <v>43</v>
      </c>
      <c r="Q12" s="22">
        <f t="shared" si="4"/>
        <v>46019</v>
      </c>
      <c r="R12" s="22">
        <f t="shared" si="5"/>
        <v>46022</v>
      </c>
      <c r="S12" s="11">
        <v>40</v>
      </c>
      <c r="T12" s="22">
        <f t="shared" si="12"/>
        <v>46023</v>
      </c>
      <c r="U12" s="22">
        <f t="shared" si="8"/>
        <v>46038</v>
      </c>
      <c r="V12" s="11">
        <v>20</v>
      </c>
      <c r="W12" s="11"/>
    </row>
    <row r="13" spans="1:23" x14ac:dyDescent="0.2">
      <c r="A13" s="11" t="s">
        <v>242</v>
      </c>
      <c r="B13" s="11" t="s">
        <v>226</v>
      </c>
      <c r="C13" s="11" t="s">
        <v>267</v>
      </c>
      <c r="D13" s="11" t="s">
        <v>21</v>
      </c>
      <c r="E13" s="22">
        <v>46023</v>
      </c>
      <c r="F13" s="22">
        <f t="shared" si="0"/>
        <v>46053</v>
      </c>
      <c r="G13" s="22"/>
      <c r="H13" s="22"/>
      <c r="I13" s="11" t="s">
        <v>66</v>
      </c>
      <c r="J13" s="11" t="s">
        <v>66</v>
      </c>
      <c r="K13" s="22">
        <f t="shared" si="1"/>
        <v>46008</v>
      </c>
      <c r="L13" s="22">
        <f t="shared" si="2"/>
        <v>46018</v>
      </c>
      <c r="M13" s="11">
        <v>45</v>
      </c>
      <c r="N13" s="22">
        <f t="shared" si="11"/>
        <v>46019</v>
      </c>
      <c r="O13" s="22">
        <f t="shared" si="3"/>
        <v>46022</v>
      </c>
      <c r="P13" s="11">
        <v>43</v>
      </c>
      <c r="Q13" s="22">
        <f t="shared" si="4"/>
        <v>46050</v>
      </c>
      <c r="R13" s="22">
        <f t="shared" si="5"/>
        <v>46053</v>
      </c>
      <c r="S13" s="11">
        <v>40</v>
      </c>
      <c r="T13" s="22">
        <f t="shared" si="12"/>
        <v>46054</v>
      </c>
      <c r="U13" s="22">
        <f t="shared" si="8"/>
        <v>46069</v>
      </c>
      <c r="V13" s="11">
        <v>20</v>
      </c>
      <c r="W13" s="11"/>
    </row>
    <row r="14" spans="1:23" x14ac:dyDescent="0.2">
      <c r="A14" s="11" t="s">
        <v>242</v>
      </c>
      <c r="B14" s="11" t="s">
        <v>226</v>
      </c>
      <c r="C14" s="11" t="s">
        <v>268</v>
      </c>
      <c r="D14" s="11" t="s">
        <v>21</v>
      </c>
      <c r="E14" s="22">
        <v>45945</v>
      </c>
      <c r="F14" s="22">
        <f t="shared" si="0"/>
        <v>45975</v>
      </c>
      <c r="G14" s="22"/>
      <c r="H14" s="22"/>
      <c r="I14" s="11" t="s">
        <v>66</v>
      </c>
      <c r="J14" s="11" t="s">
        <v>66</v>
      </c>
      <c r="K14" s="22">
        <f t="shared" si="1"/>
        <v>45930</v>
      </c>
      <c r="L14" s="22">
        <f t="shared" si="2"/>
        <v>45940</v>
      </c>
      <c r="M14" s="11">
        <v>35</v>
      </c>
      <c r="N14" s="22">
        <f>L14+1</f>
        <v>45941</v>
      </c>
      <c r="O14" s="22">
        <f t="shared" si="3"/>
        <v>45944</v>
      </c>
      <c r="P14" s="11">
        <v>33</v>
      </c>
      <c r="Q14" s="22">
        <f t="shared" si="4"/>
        <v>45972</v>
      </c>
      <c r="R14" s="22">
        <f t="shared" si="5"/>
        <v>45975</v>
      </c>
      <c r="S14" s="11">
        <v>30</v>
      </c>
      <c r="T14" s="22">
        <f>R14+1</f>
        <v>45976</v>
      </c>
      <c r="U14" s="22">
        <f>T14+15</f>
        <v>45991</v>
      </c>
      <c r="V14" s="11">
        <v>15</v>
      </c>
      <c r="W14" s="11"/>
    </row>
    <row r="15" spans="1:23" x14ac:dyDescent="0.2">
      <c r="A15" s="11" t="s">
        <v>242</v>
      </c>
      <c r="B15" s="11" t="s">
        <v>226</v>
      </c>
      <c r="C15" s="11" t="s">
        <v>268</v>
      </c>
      <c r="D15" s="11" t="s">
        <v>21</v>
      </c>
      <c r="E15" s="22">
        <v>45962</v>
      </c>
      <c r="F15" s="22">
        <f t="shared" si="0"/>
        <v>45992</v>
      </c>
      <c r="G15" s="22"/>
      <c r="H15" s="22"/>
      <c r="I15" s="11" t="s">
        <v>66</v>
      </c>
      <c r="J15" s="11" t="s">
        <v>66</v>
      </c>
      <c r="K15" s="22">
        <f t="shared" si="1"/>
        <v>45947</v>
      </c>
      <c r="L15" s="22">
        <f t="shared" si="2"/>
        <v>45957</v>
      </c>
      <c r="M15" s="11">
        <v>35</v>
      </c>
      <c r="N15" s="22">
        <f t="shared" ref="N15:N19" si="13">L15+1</f>
        <v>45958</v>
      </c>
      <c r="O15" s="22">
        <f t="shared" si="3"/>
        <v>45961</v>
      </c>
      <c r="P15" s="11">
        <v>33</v>
      </c>
      <c r="Q15" s="22">
        <f t="shared" si="4"/>
        <v>45989</v>
      </c>
      <c r="R15" s="22">
        <f t="shared" si="5"/>
        <v>45992</v>
      </c>
      <c r="S15" s="11">
        <v>30</v>
      </c>
      <c r="T15" s="22">
        <f t="shared" ref="T15:T19" si="14">R15+1</f>
        <v>45993</v>
      </c>
      <c r="U15" s="22">
        <f t="shared" si="8"/>
        <v>46008</v>
      </c>
      <c r="V15" s="11">
        <v>15</v>
      </c>
      <c r="W15" s="11"/>
    </row>
    <row r="16" spans="1:23" x14ac:dyDescent="0.2">
      <c r="A16" s="11" t="s">
        <v>242</v>
      </c>
      <c r="B16" s="11" t="s">
        <v>226</v>
      </c>
      <c r="C16" s="11" t="s">
        <v>268</v>
      </c>
      <c r="D16" s="11" t="s">
        <v>21</v>
      </c>
      <c r="E16" s="22">
        <v>45976</v>
      </c>
      <c r="F16" s="22">
        <f t="shared" si="0"/>
        <v>46006</v>
      </c>
      <c r="G16" s="22"/>
      <c r="H16" s="22"/>
      <c r="I16" s="11" t="s">
        <v>66</v>
      </c>
      <c r="J16" s="11" t="s">
        <v>66</v>
      </c>
      <c r="K16" s="22">
        <f t="shared" si="1"/>
        <v>45961</v>
      </c>
      <c r="L16" s="22">
        <f t="shared" si="2"/>
        <v>45971</v>
      </c>
      <c r="M16" s="11">
        <v>35</v>
      </c>
      <c r="N16" s="22">
        <f t="shared" si="13"/>
        <v>45972</v>
      </c>
      <c r="O16" s="22">
        <f t="shared" si="3"/>
        <v>45975</v>
      </c>
      <c r="P16" s="11">
        <v>33</v>
      </c>
      <c r="Q16" s="22">
        <f t="shared" si="4"/>
        <v>46003</v>
      </c>
      <c r="R16" s="22">
        <f t="shared" si="5"/>
        <v>46006</v>
      </c>
      <c r="S16" s="11">
        <v>30</v>
      </c>
      <c r="T16" s="22">
        <f t="shared" si="14"/>
        <v>46007</v>
      </c>
      <c r="U16" s="22">
        <f t="shared" si="8"/>
        <v>46022</v>
      </c>
      <c r="V16" s="11">
        <v>15</v>
      </c>
      <c r="W16" s="11"/>
    </row>
    <row r="17" spans="1:23" x14ac:dyDescent="0.2">
      <c r="A17" s="11" t="s">
        <v>242</v>
      </c>
      <c r="B17" s="11" t="s">
        <v>226</v>
      </c>
      <c r="C17" s="11" t="s">
        <v>268</v>
      </c>
      <c r="D17" s="11" t="s">
        <v>21</v>
      </c>
      <c r="E17" s="22">
        <v>45993</v>
      </c>
      <c r="F17" s="22">
        <f t="shared" si="0"/>
        <v>46023</v>
      </c>
      <c r="G17" s="22"/>
      <c r="H17" s="22"/>
      <c r="I17" s="11" t="s">
        <v>66</v>
      </c>
      <c r="J17" s="11" t="s">
        <v>66</v>
      </c>
      <c r="K17" s="22">
        <f t="shared" si="1"/>
        <v>45978</v>
      </c>
      <c r="L17" s="22">
        <f t="shared" si="2"/>
        <v>45988</v>
      </c>
      <c r="M17" s="11">
        <v>35</v>
      </c>
      <c r="N17" s="22">
        <f t="shared" si="13"/>
        <v>45989</v>
      </c>
      <c r="O17" s="22">
        <f t="shared" si="3"/>
        <v>45992</v>
      </c>
      <c r="P17" s="11">
        <v>33</v>
      </c>
      <c r="Q17" s="22">
        <f t="shared" si="4"/>
        <v>46020</v>
      </c>
      <c r="R17" s="22">
        <f t="shared" si="5"/>
        <v>46023</v>
      </c>
      <c r="S17" s="11">
        <v>30</v>
      </c>
      <c r="T17" s="22">
        <f t="shared" si="14"/>
        <v>46024</v>
      </c>
      <c r="U17" s="22">
        <f t="shared" si="8"/>
        <v>46039</v>
      </c>
      <c r="V17" s="11">
        <v>15</v>
      </c>
      <c r="W17" s="11"/>
    </row>
    <row r="18" spans="1:23" x14ac:dyDescent="0.2">
      <c r="A18" s="11" t="s">
        <v>242</v>
      </c>
      <c r="B18" s="11" t="s">
        <v>226</v>
      </c>
      <c r="C18" s="11" t="s">
        <v>268</v>
      </c>
      <c r="D18" s="11" t="s">
        <v>21</v>
      </c>
      <c r="E18" s="22">
        <v>46006</v>
      </c>
      <c r="F18" s="22">
        <f t="shared" si="0"/>
        <v>46036</v>
      </c>
      <c r="G18" s="22"/>
      <c r="H18" s="22"/>
      <c r="I18" s="11" t="s">
        <v>66</v>
      </c>
      <c r="J18" s="11" t="s">
        <v>66</v>
      </c>
      <c r="K18" s="22">
        <f t="shared" si="1"/>
        <v>45991</v>
      </c>
      <c r="L18" s="22">
        <f t="shared" si="2"/>
        <v>46001</v>
      </c>
      <c r="M18" s="11">
        <v>35</v>
      </c>
      <c r="N18" s="22">
        <f t="shared" si="13"/>
        <v>46002</v>
      </c>
      <c r="O18" s="22">
        <f t="shared" si="3"/>
        <v>46005</v>
      </c>
      <c r="P18" s="11">
        <v>33</v>
      </c>
      <c r="Q18" s="22">
        <f t="shared" si="4"/>
        <v>46033</v>
      </c>
      <c r="R18" s="22">
        <f t="shared" si="5"/>
        <v>46036</v>
      </c>
      <c r="S18" s="11">
        <v>30</v>
      </c>
      <c r="T18" s="22">
        <f t="shared" si="14"/>
        <v>46037</v>
      </c>
      <c r="U18" s="22">
        <f t="shared" si="8"/>
        <v>46052</v>
      </c>
      <c r="V18" s="11">
        <v>15</v>
      </c>
      <c r="W18" s="11"/>
    </row>
    <row r="19" spans="1:23" x14ac:dyDescent="0.2">
      <c r="A19" s="11" t="s">
        <v>242</v>
      </c>
      <c r="B19" s="11" t="s">
        <v>226</v>
      </c>
      <c r="C19" s="11" t="s">
        <v>268</v>
      </c>
      <c r="D19" s="11" t="s">
        <v>21</v>
      </c>
      <c r="E19" s="22">
        <v>46024</v>
      </c>
      <c r="F19" s="22">
        <f t="shared" si="0"/>
        <v>46054</v>
      </c>
      <c r="G19" s="22"/>
      <c r="H19" s="22"/>
      <c r="I19" s="11" t="s">
        <v>66</v>
      </c>
      <c r="J19" s="11" t="s">
        <v>66</v>
      </c>
      <c r="K19" s="22">
        <f t="shared" si="1"/>
        <v>46009</v>
      </c>
      <c r="L19" s="22">
        <f t="shared" si="2"/>
        <v>46019</v>
      </c>
      <c r="M19" s="11">
        <v>35</v>
      </c>
      <c r="N19" s="22">
        <f t="shared" si="13"/>
        <v>46020</v>
      </c>
      <c r="O19" s="22">
        <f t="shared" si="3"/>
        <v>46023</v>
      </c>
      <c r="P19" s="11">
        <v>33</v>
      </c>
      <c r="Q19" s="22">
        <f t="shared" si="4"/>
        <v>46051</v>
      </c>
      <c r="R19" s="22">
        <f t="shared" si="5"/>
        <v>46054</v>
      </c>
      <c r="S19" s="11">
        <v>30</v>
      </c>
      <c r="T19" s="22">
        <f t="shared" si="14"/>
        <v>46055</v>
      </c>
      <c r="U19" s="22">
        <f t="shared" si="8"/>
        <v>46070</v>
      </c>
      <c r="V19" s="11">
        <v>15</v>
      </c>
      <c r="W19" s="11"/>
    </row>
    <row r="20" spans="1:23" x14ac:dyDescent="0.2">
      <c r="A20" s="11" t="s">
        <v>242</v>
      </c>
      <c r="B20" s="11" t="s">
        <v>232</v>
      </c>
      <c r="C20" s="11" t="s">
        <v>243</v>
      </c>
      <c r="D20" s="11" t="s">
        <v>21</v>
      </c>
      <c r="E20" s="22">
        <v>45962</v>
      </c>
      <c r="F20" s="22">
        <f t="shared" si="0"/>
        <v>45992</v>
      </c>
      <c r="G20" s="22"/>
      <c r="H20" s="22"/>
      <c r="I20" s="11" t="s">
        <v>66</v>
      </c>
      <c r="J20" s="11" t="s">
        <v>66</v>
      </c>
      <c r="K20" s="22">
        <f t="shared" si="1"/>
        <v>45947</v>
      </c>
      <c r="L20" s="22">
        <f t="shared" si="2"/>
        <v>45957</v>
      </c>
      <c r="M20" s="11">
        <v>45</v>
      </c>
      <c r="N20" s="22">
        <f>L20+1</f>
        <v>45958</v>
      </c>
      <c r="O20" s="22">
        <f t="shared" si="3"/>
        <v>45961</v>
      </c>
      <c r="P20" s="11">
        <v>43</v>
      </c>
      <c r="Q20" s="22">
        <f t="shared" si="4"/>
        <v>45989</v>
      </c>
      <c r="R20" s="22">
        <f t="shared" si="5"/>
        <v>45992</v>
      </c>
      <c r="S20" s="11">
        <v>40</v>
      </c>
      <c r="T20" s="22">
        <f>R20+1</f>
        <v>45993</v>
      </c>
      <c r="U20" s="22">
        <f>T20+15</f>
        <v>46008</v>
      </c>
      <c r="V20" s="11">
        <v>20</v>
      </c>
      <c r="W20" s="11"/>
    </row>
    <row r="21" spans="1:23" x14ac:dyDescent="0.2">
      <c r="A21" s="11" t="s">
        <v>242</v>
      </c>
      <c r="B21" s="11" t="s">
        <v>232</v>
      </c>
      <c r="C21" s="11" t="s">
        <v>243</v>
      </c>
      <c r="D21" s="11" t="s">
        <v>21</v>
      </c>
      <c r="E21" s="22">
        <v>45962</v>
      </c>
      <c r="F21" s="22">
        <f t="shared" si="0"/>
        <v>45992</v>
      </c>
      <c r="G21" s="22"/>
      <c r="H21" s="22"/>
      <c r="I21" s="11" t="s">
        <v>66</v>
      </c>
      <c r="J21" s="11" t="s">
        <v>66</v>
      </c>
      <c r="K21" s="22">
        <f t="shared" si="1"/>
        <v>45947</v>
      </c>
      <c r="L21" s="22">
        <f t="shared" si="2"/>
        <v>45957</v>
      </c>
      <c r="M21" s="11">
        <v>45</v>
      </c>
      <c r="N21" s="22">
        <f t="shared" ref="N21:N23" si="15">L21+1</f>
        <v>45958</v>
      </c>
      <c r="O21" s="22">
        <f t="shared" si="3"/>
        <v>45961</v>
      </c>
      <c r="P21" s="11">
        <v>43</v>
      </c>
      <c r="Q21" s="22">
        <f t="shared" si="4"/>
        <v>45989</v>
      </c>
      <c r="R21" s="22">
        <f t="shared" si="5"/>
        <v>45992</v>
      </c>
      <c r="S21" s="11">
        <v>40</v>
      </c>
      <c r="T21" s="22">
        <f t="shared" ref="T21:T23" si="16">R21+1</f>
        <v>45993</v>
      </c>
      <c r="U21" s="22">
        <f t="shared" si="8"/>
        <v>46008</v>
      </c>
      <c r="V21" s="11">
        <v>20</v>
      </c>
      <c r="W21" s="11"/>
    </row>
    <row r="22" spans="1:23" x14ac:dyDescent="0.2">
      <c r="A22" s="11" t="s">
        <v>242</v>
      </c>
      <c r="B22" s="11" t="s">
        <v>232</v>
      </c>
      <c r="C22" s="11" t="s">
        <v>243</v>
      </c>
      <c r="D22" s="11" t="s">
        <v>21</v>
      </c>
      <c r="E22" s="22">
        <v>45992</v>
      </c>
      <c r="F22" s="22">
        <f t="shared" si="0"/>
        <v>46022</v>
      </c>
      <c r="G22" s="22"/>
      <c r="H22" s="22"/>
      <c r="I22" s="11" t="s">
        <v>66</v>
      </c>
      <c r="J22" s="11" t="s">
        <v>66</v>
      </c>
      <c r="K22" s="22">
        <f t="shared" si="1"/>
        <v>45977</v>
      </c>
      <c r="L22" s="22">
        <f t="shared" si="2"/>
        <v>45987</v>
      </c>
      <c r="M22" s="11">
        <v>45</v>
      </c>
      <c r="N22" s="22">
        <f t="shared" si="15"/>
        <v>45988</v>
      </c>
      <c r="O22" s="22">
        <f t="shared" si="3"/>
        <v>45991</v>
      </c>
      <c r="P22" s="11">
        <v>43</v>
      </c>
      <c r="Q22" s="22">
        <f t="shared" si="4"/>
        <v>46019</v>
      </c>
      <c r="R22" s="22">
        <f t="shared" si="5"/>
        <v>46022</v>
      </c>
      <c r="S22" s="11">
        <v>40</v>
      </c>
      <c r="T22" s="22">
        <f t="shared" si="16"/>
        <v>46023</v>
      </c>
      <c r="U22" s="22">
        <f t="shared" si="8"/>
        <v>46038</v>
      </c>
      <c r="V22" s="11">
        <v>20</v>
      </c>
      <c r="W22" s="11"/>
    </row>
    <row r="23" spans="1:23" x14ac:dyDescent="0.2">
      <c r="A23" s="11" t="s">
        <v>242</v>
      </c>
      <c r="B23" s="11" t="s">
        <v>232</v>
      </c>
      <c r="C23" s="11" t="s">
        <v>243</v>
      </c>
      <c r="D23" s="11" t="s">
        <v>21</v>
      </c>
      <c r="E23" s="22">
        <v>46023</v>
      </c>
      <c r="F23" s="22">
        <f t="shared" si="0"/>
        <v>46053</v>
      </c>
      <c r="G23" s="22"/>
      <c r="H23" s="22"/>
      <c r="I23" s="11" t="s">
        <v>66</v>
      </c>
      <c r="J23" s="11" t="s">
        <v>66</v>
      </c>
      <c r="K23" s="22">
        <f t="shared" si="1"/>
        <v>46008</v>
      </c>
      <c r="L23" s="22">
        <f t="shared" si="2"/>
        <v>46018</v>
      </c>
      <c r="M23" s="11">
        <v>45</v>
      </c>
      <c r="N23" s="22">
        <f t="shared" si="15"/>
        <v>46019</v>
      </c>
      <c r="O23" s="22">
        <f t="shared" si="3"/>
        <v>46022</v>
      </c>
      <c r="P23" s="11">
        <v>43</v>
      </c>
      <c r="Q23" s="22">
        <f t="shared" si="4"/>
        <v>46050</v>
      </c>
      <c r="R23" s="22">
        <f t="shared" si="5"/>
        <v>46053</v>
      </c>
      <c r="S23" s="11">
        <v>40</v>
      </c>
      <c r="T23" s="22">
        <f t="shared" si="16"/>
        <v>46054</v>
      </c>
      <c r="U23" s="22">
        <f t="shared" si="8"/>
        <v>46069</v>
      </c>
      <c r="V23" s="11">
        <v>20</v>
      </c>
      <c r="W23" s="11"/>
    </row>
    <row r="24" spans="1:23" x14ac:dyDescent="0.2">
      <c r="A24" s="11" t="s">
        <v>242</v>
      </c>
      <c r="B24" s="11" t="s">
        <v>232</v>
      </c>
      <c r="C24" s="11" t="s">
        <v>266</v>
      </c>
      <c r="D24" s="11" t="s">
        <v>21</v>
      </c>
      <c r="E24" s="22">
        <v>45992</v>
      </c>
      <c r="F24" s="22">
        <f t="shared" si="0"/>
        <v>46022</v>
      </c>
      <c r="G24" s="22"/>
      <c r="H24" s="22"/>
      <c r="I24" s="11" t="s">
        <v>66</v>
      </c>
      <c r="J24" s="11" t="s">
        <v>66</v>
      </c>
      <c r="K24" s="22">
        <f t="shared" si="1"/>
        <v>45977</v>
      </c>
      <c r="L24" s="22">
        <f t="shared" si="2"/>
        <v>45987</v>
      </c>
      <c r="M24" s="11">
        <v>45</v>
      </c>
      <c r="N24" s="22">
        <f>L24+1</f>
        <v>45988</v>
      </c>
      <c r="O24" s="22">
        <f t="shared" si="3"/>
        <v>45991</v>
      </c>
      <c r="P24" s="11">
        <v>43</v>
      </c>
      <c r="Q24" s="22">
        <f t="shared" si="4"/>
        <v>46019</v>
      </c>
      <c r="R24" s="22">
        <f t="shared" si="5"/>
        <v>46022</v>
      </c>
      <c r="S24" s="11">
        <v>40</v>
      </c>
      <c r="T24" s="22">
        <f>R24+1</f>
        <v>46023</v>
      </c>
      <c r="U24" s="22">
        <f>T24+15</f>
        <v>46038</v>
      </c>
      <c r="V24" s="11">
        <v>20</v>
      </c>
      <c r="W24" s="11"/>
    </row>
    <row r="25" spans="1:23" x14ac:dyDescent="0.2">
      <c r="A25" s="11" t="s">
        <v>242</v>
      </c>
      <c r="B25" s="11" t="s">
        <v>232</v>
      </c>
      <c r="C25" s="11" t="s">
        <v>266</v>
      </c>
      <c r="D25" s="11" t="s">
        <v>21</v>
      </c>
      <c r="E25" s="22">
        <v>45962</v>
      </c>
      <c r="F25" s="22">
        <f t="shared" si="0"/>
        <v>45992</v>
      </c>
      <c r="G25" s="22"/>
      <c r="H25" s="22"/>
      <c r="I25" s="11" t="s">
        <v>66</v>
      </c>
      <c r="J25" s="11" t="s">
        <v>66</v>
      </c>
      <c r="K25" s="22">
        <f t="shared" si="1"/>
        <v>45947</v>
      </c>
      <c r="L25" s="22">
        <f t="shared" si="2"/>
        <v>45957</v>
      </c>
      <c r="M25" s="11">
        <v>45</v>
      </c>
      <c r="N25" s="22">
        <f t="shared" ref="N25:N27" si="17">L25+1</f>
        <v>45958</v>
      </c>
      <c r="O25" s="22">
        <f t="shared" si="3"/>
        <v>45961</v>
      </c>
      <c r="P25" s="11">
        <v>43</v>
      </c>
      <c r="Q25" s="22">
        <f t="shared" si="4"/>
        <v>45989</v>
      </c>
      <c r="R25" s="22">
        <f t="shared" si="5"/>
        <v>45992</v>
      </c>
      <c r="S25" s="11">
        <v>40</v>
      </c>
      <c r="T25" s="22">
        <f t="shared" ref="T25:T27" si="18">R25+1</f>
        <v>45993</v>
      </c>
      <c r="U25" s="22">
        <f t="shared" si="8"/>
        <v>46008</v>
      </c>
      <c r="V25" s="11">
        <v>20</v>
      </c>
      <c r="W25" s="11"/>
    </row>
    <row r="26" spans="1:23" x14ac:dyDescent="0.2">
      <c r="A26" s="11" t="s">
        <v>242</v>
      </c>
      <c r="B26" s="11" t="s">
        <v>232</v>
      </c>
      <c r="C26" s="11" t="s">
        <v>266</v>
      </c>
      <c r="D26" s="11" t="s">
        <v>21</v>
      </c>
      <c r="E26" s="22">
        <v>45992</v>
      </c>
      <c r="F26" s="22">
        <f t="shared" si="0"/>
        <v>46022</v>
      </c>
      <c r="G26" s="22"/>
      <c r="H26" s="22"/>
      <c r="I26" s="11" t="s">
        <v>66</v>
      </c>
      <c r="J26" s="11" t="s">
        <v>66</v>
      </c>
      <c r="K26" s="22">
        <f t="shared" si="1"/>
        <v>45977</v>
      </c>
      <c r="L26" s="22">
        <f t="shared" si="2"/>
        <v>45987</v>
      </c>
      <c r="M26" s="11">
        <v>45</v>
      </c>
      <c r="N26" s="22">
        <f t="shared" si="17"/>
        <v>45988</v>
      </c>
      <c r="O26" s="22">
        <f t="shared" si="3"/>
        <v>45991</v>
      </c>
      <c r="P26" s="11">
        <v>43</v>
      </c>
      <c r="Q26" s="22">
        <f t="shared" si="4"/>
        <v>46019</v>
      </c>
      <c r="R26" s="22">
        <f t="shared" si="5"/>
        <v>46022</v>
      </c>
      <c r="S26" s="11">
        <v>40</v>
      </c>
      <c r="T26" s="22">
        <f t="shared" si="18"/>
        <v>46023</v>
      </c>
      <c r="U26" s="22">
        <f t="shared" si="8"/>
        <v>46038</v>
      </c>
      <c r="V26" s="11">
        <v>20</v>
      </c>
      <c r="W26" s="11"/>
    </row>
    <row r="27" spans="1:23" x14ac:dyDescent="0.2">
      <c r="A27" s="11" t="s">
        <v>242</v>
      </c>
      <c r="B27" s="11" t="s">
        <v>232</v>
      </c>
      <c r="C27" s="11" t="s">
        <v>266</v>
      </c>
      <c r="D27" s="11" t="s">
        <v>21</v>
      </c>
      <c r="E27" s="22">
        <v>46023</v>
      </c>
      <c r="F27" s="22">
        <f t="shared" si="0"/>
        <v>46053</v>
      </c>
      <c r="G27" s="22"/>
      <c r="H27" s="22"/>
      <c r="I27" s="11" t="s">
        <v>66</v>
      </c>
      <c r="J27" s="11" t="s">
        <v>66</v>
      </c>
      <c r="K27" s="22">
        <f t="shared" si="1"/>
        <v>46008</v>
      </c>
      <c r="L27" s="22">
        <f t="shared" si="2"/>
        <v>46018</v>
      </c>
      <c r="M27" s="11">
        <v>45</v>
      </c>
      <c r="N27" s="22">
        <f t="shared" si="17"/>
        <v>46019</v>
      </c>
      <c r="O27" s="22">
        <f t="shared" si="3"/>
        <v>46022</v>
      </c>
      <c r="P27" s="11">
        <v>43</v>
      </c>
      <c r="Q27" s="22">
        <f t="shared" si="4"/>
        <v>46050</v>
      </c>
      <c r="R27" s="22">
        <f t="shared" si="5"/>
        <v>46053</v>
      </c>
      <c r="S27" s="11">
        <v>40</v>
      </c>
      <c r="T27" s="22">
        <f t="shared" si="18"/>
        <v>46054</v>
      </c>
      <c r="U27" s="22">
        <f t="shared" si="8"/>
        <v>46069</v>
      </c>
      <c r="V27" s="11">
        <v>20</v>
      </c>
      <c r="W27" s="11"/>
    </row>
    <row r="28" spans="1:23" x14ac:dyDescent="0.2">
      <c r="A28" s="11" t="s">
        <v>242</v>
      </c>
      <c r="B28" s="11" t="s">
        <v>232</v>
      </c>
      <c r="C28" s="11" t="s">
        <v>267</v>
      </c>
      <c r="D28" s="11" t="s">
        <v>21</v>
      </c>
      <c r="E28" s="22">
        <v>46023</v>
      </c>
      <c r="F28" s="22">
        <f t="shared" si="0"/>
        <v>46053</v>
      </c>
      <c r="G28" s="22"/>
      <c r="H28" s="22"/>
      <c r="I28" s="11" t="s">
        <v>66</v>
      </c>
      <c r="J28" s="11" t="s">
        <v>66</v>
      </c>
      <c r="K28" s="22">
        <f t="shared" si="1"/>
        <v>46008</v>
      </c>
      <c r="L28" s="22">
        <f t="shared" si="2"/>
        <v>46018</v>
      </c>
      <c r="M28" s="11">
        <v>45</v>
      </c>
      <c r="N28" s="22">
        <f>L28+1</f>
        <v>46019</v>
      </c>
      <c r="O28" s="22">
        <f t="shared" si="3"/>
        <v>46022</v>
      </c>
      <c r="P28" s="11">
        <v>43</v>
      </c>
      <c r="Q28" s="22">
        <f t="shared" si="4"/>
        <v>46050</v>
      </c>
      <c r="R28" s="22">
        <f t="shared" si="5"/>
        <v>46053</v>
      </c>
      <c r="S28" s="11">
        <v>40</v>
      </c>
      <c r="T28" s="22">
        <f>R28+1</f>
        <v>46054</v>
      </c>
      <c r="U28" s="22">
        <f>T28+15</f>
        <v>46069</v>
      </c>
      <c r="V28" s="11">
        <v>20</v>
      </c>
      <c r="W28" s="11"/>
    </row>
    <row r="29" spans="1:23" x14ac:dyDescent="0.2">
      <c r="A29" s="11" t="s">
        <v>242</v>
      </c>
      <c r="B29" s="11" t="s">
        <v>232</v>
      </c>
      <c r="C29" s="11" t="s">
        <v>267</v>
      </c>
      <c r="D29" s="11" t="s">
        <v>21</v>
      </c>
      <c r="E29" s="22">
        <v>45962</v>
      </c>
      <c r="F29" s="22">
        <f t="shared" si="0"/>
        <v>45992</v>
      </c>
      <c r="G29" s="22"/>
      <c r="H29" s="22"/>
      <c r="I29" s="11" t="s">
        <v>66</v>
      </c>
      <c r="J29" s="11" t="s">
        <v>66</v>
      </c>
      <c r="K29" s="22">
        <f t="shared" si="1"/>
        <v>45947</v>
      </c>
      <c r="L29" s="22">
        <f t="shared" si="2"/>
        <v>45957</v>
      </c>
      <c r="M29" s="11">
        <v>45</v>
      </c>
      <c r="N29" s="22">
        <f t="shared" ref="N29:N31" si="19">L29+1</f>
        <v>45958</v>
      </c>
      <c r="O29" s="22">
        <f t="shared" si="3"/>
        <v>45961</v>
      </c>
      <c r="P29" s="11">
        <v>43</v>
      </c>
      <c r="Q29" s="22">
        <f t="shared" si="4"/>
        <v>45989</v>
      </c>
      <c r="R29" s="22">
        <f t="shared" si="5"/>
        <v>45992</v>
      </c>
      <c r="S29" s="11">
        <v>40</v>
      </c>
      <c r="T29" s="22">
        <f t="shared" ref="T29:T31" si="20">R29+1</f>
        <v>45993</v>
      </c>
      <c r="U29" s="22">
        <f t="shared" si="8"/>
        <v>46008</v>
      </c>
      <c r="V29" s="11">
        <v>20</v>
      </c>
      <c r="W29" s="11"/>
    </row>
    <row r="30" spans="1:23" x14ac:dyDescent="0.2">
      <c r="A30" s="11" t="s">
        <v>242</v>
      </c>
      <c r="B30" s="11" t="s">
        <v>232</v>
      </c>
      <c r="C30" s="11" t="s">
        <v>267</v>
      </c>
      <c r="D30" s="11" t="s">
        <v>21</v>
      </c>
      <c r="E30" s="22">
        <v>45992</v>
      </c>
      <c r="F30" s="22">
        <f t="shared" si="0"/>
        <v>46022</v>
      </c>
      <c r="G30" s="22"/>
      <c r="H30" s="22"/>
      <c r="I30" s="11" t="s">
        <v>66</v>
      </c>
      <c r="J30" s="11" t="s">
        <v>66</v>
      </c>
      <c r="K30" s="22">
        <f t="shared" si="1"/>
        <v>45977</v>
      </c>
      <c r="L30" s="22">
        <f t="shared" si="2"/>
        <v>45987</v>
      </c>
      <c r="M30" s="11">
        <v>45</v>
      </c>
      <c r="N30" s="22">
        <f t="shared" si="19"/>
        <v>45988</v>
      </c>
      <c r="O30" s="22">
        <f t="shared" si="3"/>
        <v>45991</v>
      </c>
      <c r="P30" s="11">
        <v>43</v>
      </c>
      <c r="Q30" s="22">
        <f t="shared" si="4"/>
        <v>46019</v>
      </c>
      <c r="R30" s="22">
        <f t="shared" si="5"/>
        <v>46022</v>
      </c>
      <c r="S30" s="11">
        <v>40</v>
      </c>
      <c r="T30" s="22">
        <f t="shared" si="20"/>
        <v>46023</v>
      </c>
      <c r="U30" s="22">
        <f t="shared" si="8"/>
        <v>46038</v>
      </c>
      <c r="V30" s="11">
        <v>20</v>
      </c>
      <c r="W30" s="11"/>
    </row>
    <row r="31" spans="1:23" x14ac:dyDescent="0.2">
      <c r="A31" s="11" t="s">
        <v>242</v>
      </c>
      <c r="B31" s="11" t="s">
        <v>232</v>
      </c>
      <c r="C31" s="11" t="s">
        <v>267</v>
      </c>
      <c r="D31" s="11" t="s">
        <v>21</v>
      </c>
      <c r="E31" s="22">
        <v>46023</v>
      </c>
      <c r="F31" s="22">
        <f t="shared" si="0"/>
        <v>46053</v>
      </c>
      <c r="G31" s="22"/>
      <c r="H31" s="22"/>
      <c r="I31" s="11" t="s">
        <v>66</v>
      </c>
      <c r="J31" s="11" t="s">
        <v>66</v>
      </c>
      <c r="K31" s="22">
        <f t="shared" si="1"/>
        <v>46008</v>
      </c>
      <c r="L31" s="22">
        <f t="shared" si="2"/>
        <v>46018</v>
      </c>
      <c r="M31" s="11">
        <v>45</v>
      </c>
      <c r="N31" s="22">
        <f t="shared" si="19"/>
        <v>46019</v>
      </c>
      <c r="O31" s="22">
        <f t="shared" si="3"/>
        <v>46022</v>
      </c>
      <c r="P31" s="11">
        <v>43</v>
      </c>
      <c r="Q31" s="22">
        <f t="shared" si="4"/>
        <v>46050</v>
      </c>
      <c r="R31" s="22">
        <f t="shared" si="5"/>
        <v>46053</v>
      </c>
      <c r="S31" s="11">
        <v>40</v>
      </c>
      <c r="T31" s="22">
        <f t="shared" si="20"/>
        <v>46054</v>
      </c>
      <c r="U31" s="22">
        <f t="shared" si="8"/>
        <v>46069</v>
      </c>
      <c r="V31" s="11">
        <v>20</v>
      </c>
      <c r="W31" s="11"/>
    </row>
    <row r="32" spans="1:23" x14ac:dyDescent="0.2">
      <c r="A32" s="11" t="s">
        <v>242</v>
      </c>
      <c r="B32" s="11" t="s">
        <v>232</v>
      </c>
      <c r="C32" s="11" t="s">
        <v>268</v>
      </c>
      <c r="D32" s="11" t="s">
        <v>21</v>
      </c>
      <c r="E32" s="22">
        <v>45945</v>
      </c>
      <c r="F32" s="22">
        <f t="shared" si="0"/>
        <v>45975</v>
      </c>
      <c r="G32" s="22"/>
      <c r="H32" s="22"/>
      <c r="I32" s="11" t="s">
        <v>66</v>
      </c>
      <c r="J32" s="11" t="s">
        <v>66</v>
      </c>
      <c r="K32" s="22">
        <f t="shared" si="1"/>
        <v>45930</v>
      </c>
      <c r="L32" s="22">
        <f t="shared" si="2"/>
        <v>45940</v>
      </c>
      <c r="M32" s="11">
        <v>35</v>
      </c>
      <c r="N32" s="22">
        <f>L32+1</f>
        <v>45941</v>
      </c>
      <c r="O32" s="22">
        <f t="shared" si="3"/>
        <v>45944</v>
      </c>
      <c r="P32" s="11">
        <v>33</v>
      </c>
      <c r="Q32" s="22">
        <f t="shared" si="4"/>
        <v>45972</v>
      </c>
      <c r="R32" s="22">
        <f t="shared" si="5"/>
        <v>45975</v>
      </c>
      <c r="S32" s="11">
        <v>30</v>
      </c>
      <c r="T32" s="22">
        <f>R32+1</f>
        <v>45976</v>
      </c>
      <c r="U32" s="22">
        <f>T32+15</f>
        <v>45991</v>
      </c>
      <c r="V32" s="11">
        <v>15</v>
      </c>
      <c r="W32" s="11"/>
    </row>
    <row r="33" spans="1:23" x14ac:dyDescent="0.2">
      <c r="A33" s="11" t="s">
        <v>242</v>
      </c>
      <c r="B33" s="11" t="s">
        <v>232</v>
      </c>
      <c r="C33" s="11" t="s">
        <v>268</v>
      </c>
      <c r="D33" s="11" t="s">
        <v>21</v>
      </c>
      <c r="E33" s="22">
        <v>45962</v>
      </c>
      <c r="F33" s="22">
        <f t="shared" si="0"/>
        <v>45992</v>
      </c>
      <c r="G33" s="22"/>
      <c r="H33" s="22"/>
      <c r="I33" s="11" t="s">
        <v>66</v>
      </c>
      <c r="J33" s="11" t="s">
        <v>66</v>
      </c>
      <c r="K33" s="22">
        <f t="shared" si="1"/>
        <v>45947</v>
      </c>
      <c r="L33" s="22">
        <f t="shared" si="2"/>
        <v>45957</v>
      </c>
      <c r="M33" s="11">
        <v>35</v>
      </c>
      <c r="N33" s="22">
        <f t="shared" ref="N33:N37" si="21">L33+1</f>
        <v>45958</v>
      </c>
      <c r="O33" s="22">
        <f t="shared" si="3"/>
        <v>45961</v>
      </c>
      <c r="P33" s="11">
        <v>33</v>
      </c>
      <c r="Q33" s="22">
        <f t="shared" si="4"/>
        <v>45989</v>
      </c>
      <c r="R33" s="22">
        <f t="shared" si="5"/>
        <v>45992</v>
      </c>
      <c r="S33" s="11">
        <v>30</v>
      </c>
      <c r="T33" s="22">
        <f t="shared" ref="T33:T37" si="22">R33+1</f>
        <v>45993</v>
      </c>
      <c r="U33" s="22">
        <f t="shared" si="8"/>
        <v>46008</v>
      </c>
      <c r="V33" s="11">
        <v>15</v>
      </c>
      <c r="W33" s="11"/>
    </row>
    <row r="34" spans="1:23" x14ac:dyDescent="0.2">
      <c r="A34" s="11" t="s">
        <v>242</v>
      </c>
      <c r="B34" s="11" t="s">
        <v>232</v>
      </c>
      <c r="C34" s="11" t="s">
        <v>268</v>
      </c>
      <c r="D34" s="11" t="s">
        <v>21</v>
      </c>
      <c r="E34" s="22">
        <v>45976</v>
      </c>
      <c r="F34" s="22">
        <f t="shared" si="0"/>
        <v>46006</v>
      </c>
      <c r="G34" s="22"/>
      <c r="H34" s="22"/>
      <c r="I34" s="11" t="s">
        <v>66</v>
      </c>
      <c r="J34" s="11" t="s">
        <v>66</v>
      </c>
      <c r="K34" s="22">
        <f t="shared" si="1"/>
        <v>45961</v>
      </c>
      <c r="L34" s="22">
        <f t="shared" si="2"/>
        <v>45971</v>
      </c>
      <c r="M34" s="11">
        <v>35</v>
      </c>
      <c r="N34" s="22">
        <f t="shared" si="21"/>
        <v>45972</v>
      </c>
      <c r="O34" s="22">
        <f t="shared" si="3"/>
        <v>45975</v>
      </c>
      <c r="P34" s="11">
        <v>33</v>
      </c>
      <c r="Q34" s="22">
        <f t="shared" si="4"/>
        <v>46003</v>
      </c>
      <c r="R34" s="22">
        <f t="shared" si="5"/>
        <v>46006</v>
      </c>
      <c r="S34" s="11">
        <v>30</v>
      </c>
      <c r="T34" s="22">
        <f t="shared" si="22"/>
        <v>46007</v>
      </c>
      <c r="U34" s="22">
        <f t="shared" si="8"/>
        <v>46022</v>
      </c>
      <c r="V34" s="11">
        <v>15</v>
      </c>
      <c r="W34" s="11"/>
    </row>
    <row r="35" spans="1:23" x14ac:dyDescent="0.2">
      <c r="A35" s="11" t="s">
        <v>242</v>
      </c>
      <c r="B35" s="11" t="s">
        <v>232</v>
      </c>
      <c r="C35" s="11" t="s">
        <v>268</v>
      </c>
      <c r="D35" s="11" t="s">
        <v>21</v>
      </c>
      <c r="E35" s="22">
        <v>45993</v>
      </c>
      <c r="F35" s="22">
        <f t="shared" si="0"/>
        <v>46023</v>
      </c>
      <c r="G35" s="22"/>
      <c r="H35" s="22"/>
      <c r="I35" s="11" t="s">
        <v>66</v>
      </c>
      <c r="J35" s="11" t="s">
        <v>66</v>
      </c>
      <c r="K35" s="22">
        <f t="shared" si="1"/>
        <v>45978</v>
      </c>
      <c r="L35" s="22">
        <f t="shared" si="2"/>
        <v>45988</v>
      </c>
      <c r="M35" s="11">
        <v>35</v>
      </c>
      <c r="N35" s="22">
        <f t="shared" si="21"/>
        <v>45989</v>
      </c>
      <c r="O35" s="22">
        <f t="shared" si="3"/>
        <v>45992</v>
      </c>
      <c r="P35" s="11">
        <v>33</v>
      </c>
      <c r="Q35" s="22">
        <f t="shared" si="4"/>
        <v>46020</v>
      </c>
      <c r="R35" s="22">
        <f t="shared" si="5"/>
        <v>46023</v>
      </c>
      <c r="S35" s="11">
        <v>30</v>
      </c>
      <c r="T35" s="22">
        <f t="shared" si="22"/>
        <v>46024</v>
      </c>
      <c r="U35" s="22">
        <f t="shared" si="8"/>
        <v>46039</v>
      </c>
      <c r="V35" s="11">
        <v>15</v>
      </c>
      <c r="W35" s="11"/>
    </row>
    <row r="36" spans="1:23" x14ac:dyDescent="0.2">
      <c r="A36" s="11" t="s">
        <v>242</v>
      </c>
      <c r="B36" s="11" t="s">
        <v>232</v>
      </c>
      <c r="C36" s="11" t="s">
        <v>268</v>
      </c>
      <c r="D36" s="11" t="s">
        <v>21</v>
      </c>
      <c r="E36" s="22">
        <v>46006</v>
      </c>
      <c r="F36" s="22">
        <f t="shared" si="0"/>
        <v>46036</v>
      </c>
      <c r="G36" s="22"/>
      <c r="H36" s="22"/>
      <c r="I36" s="11" t="s">
        <v>66</v>
      </c>
      <c r="J36" s="11" t="s">
        <v>66</v>
      </c>
      <c r="K36" s="22">
        <f t="shared" si="1"/>
        <v>45991</v>
      </c>
      <c r="L36" s="22">
        <f t="shared" si="2"/>
        <v>46001</v>
      </c>
      <c r="M36" s="11">
        <v>35</v>
      </c>
      <c r="N36" s="22">
        <f t="shared" si="21"/>
        <v>46002</v>
      </c>
      <c r="O36" s="22">
        <f t="shared" si="3"/>
        <v>46005</v>
      </c>
      <c r="P36" s="11">
        <v>33</v>
      </c>
      <c r="Q36" s="22">
        <f t="shared" si="4"/>
        <v>46033</v>
      </c>
      <c r="R36" s="22">
        <f t="shared" si="5"/>
        <v>46036</v>
      </c>
      <c r="S36" s="11">
        <v>30</v>
      </c>
      <c r="T36" s="22">
        <f t="shared" si="22"/>
        <v>46037</v>
      </c>
      <c r="U36" s="22">
        <f t="shared" si="8"/>
        <v>46052</v>
      </c>
      <c r="V36" s="11">
        <v>15</v>
      </c>
      <c r="W36" s="11"/>
    </row>
    <row r="37" spans="1:23" x14ac:dyDescent="0.2">
      <c r="A37" s="11" t="s">
        <v>242</v>
      </c>
      <c r="B37" s="11" t="s">
        <v>232</v>
      </c>
      <c r="C37" s="11" t="s">
        <v>268</v>
      </c>
      <c r="D37" s="11" t="s">
        <v>21</v>
      </c>
      <c r="E37" s="22">
        <v>46024</v>
      </c>
      <c r="F37" s="22">
        <f t="shared" si="0"/>
        <v>46054</v>
      </c>
      <c r="G37" s="22"/>
      <c r="H37" s="22"/>
      <c r="I37" s="11" t="s">
        <v>66</v>
      </c>
      <c r="J37" s="11" t="s">
        <v>66</v>
      </c>
      <c r="K37" s="22">
        <f t="shared" si="1"/>
        <v>46009</v>
      </c>
      <c r="L37" s="22">
        <f t="shared" si="2"/>
        <v>46019</v>
      </c>
      <c r="M37" s="11">
        <v>35</v>
      </c>
      <c r="N37" s="22">
        <f t="shared" si="21"/>
        <v>46020</v>
      </c>
      <c r="O37" s="22">
        <f t="shared" si="3"/>
        <v>46023</v>
      </c>
      <c r="P37" s="11">
        <v>33</v>
      </c>
      <c r="Q37" s="22">
        <f t="shared" si="4"/>
        <v>46051</v>
      </c>
      <c r="R37" s="22">
        <f t="shared" si="5"/>
        <v>46054</v>
      </c>
      <c r="S37" s="11">
        <v>30</v>
      </c>
      <c r="T37" s="22">
        <f t="shared" si="22"/>
        <v>46055</v>
      </c>
      <c r="U37" s="22">
        <f t="shared" si="8"/>
        <v>46070</v>
      </c>
      <c r="V37" s="11">
        <v>15</v>
      </c>
      <c r="W37" s="11"/>
    </row>
    <row r="38" spans="1:23" x14ac:dyDescent="0.2">
      <c r="A38" s="11" t="s">
        <v>242</v>
      </c>
      <c r="B38" s="11" t="s">
        <v>233</v>
      </c>
      <c r="C38" s="11" t="s">
        <v>243</v>
      </c>
      <c r="D38" s="11" t="s">
        <v>21</v>
      </c>
      <c r="E38" s="22">
        <v>45962</v>
      </c>
      <c r="F38" s="22">
        <f t="shared" si="0"/>
        <v>45992</v>
      </c>
      <c r="G38" s="22"/>
      <c r="H38" s="22"/>
      <c r="I38" s="11" t="s">
        <v>66</v>
      </c>
      <c r="J38" s="11" t="s">
        <v>66</v>
      </c>
      <c r="K38" s="22">
        <f t="shared" si="1"/>
        <v>45947</v>
      </c>
      <c r="L38" s="22">
        <f t="shared" si="2"/>
        <v>45957</v>
      </c>
      <c r="M38" s="11">
        <v>45</v>
      </c>
      <c r="N38" s="22">
        <f>L38+1</f>
        <v>45958</v>
      </c>
      <c r="O38" s="22">
        <f t="shared" si="3"/>
        <v>45961</v>
      </c>
      <c r="P38" s="11">
        <v>43</v>
      </c>
      <c r="Q38" s="22">
        <f t="shared" si="4"/>
        <v>45989</v>
      </c>
      <c r="R38" s="22">
        <f t="shared" si="5"/>
        <v>45992</v>
      </c>
      <c r="S38" s="11">
        <v>40</v>
      </c>
      <c r="T38" s="22">
        <f>R38+1</f>
        <v>45993</v>
      </c>
      <c r="U38" s="22">
        <f>T38+15</f>
        <v>46008</v>
      </c>
      <c r="V38" s="11">
        <v>20</v>
      </c>
    </row>
    <row r="39" spans="1:23" x14ac:dyDescent="0.2">
      <c r="A39" s="11" t="s">
        <v>242</v>
      </c>
      <c r="B39" s="11" t="s">
        <v>233</v>
      </c>
      <c r="C39" s="11" t="s">
        <v>243</v>
      </c>
      <c r="D39" s="11" t="s">
        <v>21</v>
      </c>
      <c r="E39" s="22">
        <v>45962</v>
      </c>
      <c r="F39" s="22">
        <f t="shared" si="0"/>
        <v>45992</v>
      </c>
      <c r="G39" s="22"/>
      <c r="H39" s="22"/>
      <c r="I39" s="11" t="s">
        <v>66</v>
      </c>
      <c r="J39" s="11" t="s">
        <v>66</v>
      </c>
      <c r="K39" s="22">
        <f t="shared" si="1"/>
        <v>45947</v>
      </c>
      <c r="L39" s="22">
        <f t="shared" si="2"/>
        <v>45957</v>
      </c>
      <c r="M39" s="11">
        <v>45</v>
      </c>
      <c r="N39" s="22">
        <f t="shared" ref="N39:N41" si="23">L39+1</f>
        <v>45958</v>
      </c>
      <c r="O39" s="22">
        <f t="shared" si="3"/>
        <v>45961</v>
      </c>
      <c r="P39" s="11">
        <v>43</v>
      </c>
      <c r="Q39" s="22">
        <f t="shared" si="4"/>
        <v>45989</v>
      </c>
      <c r="R39" s="22">
        <f t="shared" si="5"/>
        <v>45992</v>
      </c>
      <c r="S39" s="11">
        <v>40</v>
      </c>
      <c r="T39" s="22">
        <f t="shared" ref="T39:T41" si="24">R39+1</f>
        <v>45993</v>
      </c>
      <c r="U39" s="22">
        <f t="shared" si="8"/>
        <v>46008</v>
      </c>
      <c r="V39" s="11">
        <v>20</v>
      </c>
    </row>
    <row r="40" spans="1:23" x14ac:dyDescent="0.2">
      <c r="A40" s="11" t="s">
        <v>242</v>
      </c>
      <c r="B40" s="11" t="s">
        <v>233</v>
      </c>
      <c r="C40" s="11" t="s">
        <v>243</v>
      </c>
      <c r="D40" s="11" t="s">
        <v>21</v>
      </c>
      <c r="E40" s="22">
        <v>45992</v>
      </c>
      <c r="F40" s="22">
        <f t="shared" si="0"/>
        <v>46022</v>
      </c>
      <c r="G40" s="22"/>
      <c r="H40" s="22"/>
      <c r="I40" s="11" t="s">
        <v>66</v>
      </c>
      <c r="J40" s="11" t="s">
        <v>66</v>
      </c>
      <c r="K40" s="22">
        <f t="shared" si="1"/>
        <v>45977</v>
      </c>
      <c r="L40" s="22">
        <f t="shared" si="2"/>
        <v>45987</v>
      </c>
      <c r="M40" s="11">
        <v>45</v>
      </c>
      <c r="N40" s="22">
        <f t="shared" si="23"/>
        <v>45988</v>
      </c>
      <c r="O40" s="22">
        <f t="shared" si="3"/>
        <v>45991</v>
      </c>
      <c r="P40" s="11">
        <v>43</v>
      </c>
      <c r="Q40" s="22">
        <f t="shared" si="4"/>
        <v>46019</v>
      </c>
      <c r="R40" s="22">
        <f t="shared" si="5"/>
        <v>46022</v>
      </c>
      <c r="S40" s="11">
        <v>40</v>
      </c>
      <c r="T40" s="22">
        <f t="shared" si="24"/>
        <v>46023</v>
      </c>
      <c r="U40" s="22">
        <f t="shared" si="8"/>
        <v>46038</v>
      </c>
      <c r="V40" s="11">
        <v>20</v>
      </c>
    </row>
    <row r="41" spans="1:23" x14ac:dyDescent="0.2">
      <c r="A41" s="11" t="s">
        <v>242</v>
      </c>
      <c r="B41" s="11" t="s">
        <v>233</v>
      </c>
      <c r="C41" s="11" t="s">
        <v>243</v>
      </c>
      <c r="D41" s="11" t="s">
        <v>21</v>
      </c>
      <c r="E41" s="22">
        <v>46023</v>
      </c>
      <c r="F41" s="22">
        <f t="shared" si="0"/>
        <v>46053</v>
      </c>
      <c r="G41" s="22"/>
      <c r="H41" s="22"/>
      <c r="I41" s="11" t="s">
        <v>66</v>
      </c>
      <c r="J41" s="11" t="s">
        <v>66</v>
      </c>
      <c r="K41" s="22">
        <f t="shared" si="1"/>
        <v>46008</v>
      </c>
      <c r="L41" s="22">
        <f t="shared" si="2"/>
        <v>46018</v>
      </c>
      <c r="M41" s="11">
        <v>45</v>
      </c>
      <c r="N41" s="22">
        <f t="shared" si="23"/>
        <v>46019</v>
      </c>
      <c r="O41" s="22">
        <f t="shared" si="3"/>
        <v>46022</v>
      </c>
      <c r="P41" s="11">
        <v>43</v>
      </c>
      <c r="Q41" s="22">
        <f t="shared" si="4"/>
        <v>46050</v>
      </c>
      <c r="R41" s="22">
        <f t="shared" si="5"/>
        <v>46053</v>
      </c>
      <c r="S41" s="11">
        <v>40</v>
      </c>
      <c r="T41" s="22">
        <f t="shared" si="24"/>
        <v>46054</v>
      </c>
      <c r="U41" s="22">
        <f t="shared" si="8"/>
        <v>46069</v>
      </c>
      <c r="V41" s="11">
        <v>20</v>
      </c>
    </row>
    <row r="42" spans="1:23" x14ac:dyDescent="0.2">
      <c r="A42" s="11" t="s">
        <v>242</v>
      </c>
      <c r="B42" s="11" t="s">
        <v>233</v>
      </c>
      <c r="C42" s="11" t="s">
        <v>266</v>
      </c>
      <c r="D42" s="11" t="s">
        <v>21</v>
      </c>
      <c r="E42" s="22">
        <v>45992</v>
      </c>
      <c r="F42" s="22">
        <f t="shared" si="0"/>
        <v>46022</v>
      </c>
      <c r="G42" s="22"/>
      <c r="H42" s="22"/>
      <c r="I42" s="11" t="s">
        <v>66</v>
      </c>
      <c r="J42" s="11" t="s">
        <v>66</v>
      </c>
      <c r="K42" s="22">
        <f t="shared" si="1"/>
        <v>45977</v>
      </c>
      <c r="L42" s="22">
        <f t="shared" si="2"/>
        <v>45987</v>
      </c>
      <c r="M42" s="11">
        <v>45</v>
      </c>
      <c r="N42" s="22">
        <f>L42+1</f>
        <v>45988</v>
      </c>
      <c r="O42" s="22">
        <f t="shared" si="3"/>
        <v>45991</v>
      </c>
      <c r="P42" s="11">
        <v>43</v>
      </c>
      <c r="Q42" s="22">
        <f t="shared" si="4"/>
        <v>46019</v>
      </c>
      <c r="R42" s="22">
        <f t="shared" si="5"/>
        <v>46022</v>
      </c>
      <c r="S42" s="11">
        <v>40</v>
      </c>
      <c r="T42" s="22">
        <f>R42+1</f>
        <v>46023</v>
      </c>
      <c r="U42" s="22">
        <f>T42+15</f>
        <v>46038</v>
      </c>
      <c r="V42" s="11">
        <v>20</v>
      </c>
    </row>
    <row r="43" spans="1:23" x14ac:dyDescent="0.2">
      <c r="A43" s="11" t="s">
        <v>242</v>
      </c>
      <c r="B43" s="11" t="s">
        <v>233</v>
      </c>
      <c r="C43" s="11" t="s">
        <v>266</v>
      </c>
      <c r="D43" s="11" t="s">
        <v>21</v>
      </c>
      <c r="E43" s="22">
        <v>45962</v>
      </c>
      <c r="F43" s="22">
        <f t="shared" si="0"/>
        <v>45992</v>
      </c>
      <c r="G43" s="22"/>
      <c r="H43" s="22"/>
      <c r="I43" s="11" t="s">
        <v>66</v>
      </c>
      <c r="J43" s="11" t="s">
        <v>66</v>
      </c>
      <c r="K43" s="22">
        <f t="shared" si="1"/>
        <v>45947</v>
      </c>
      <c r="L43" s="22">
        <f t="shared" si="2"/>
        <v>45957</v>
      </c>
      <c r="M43" s="11">
        <v>45</v>
      </c>
      <c r="N43" s="22">
        <f t="shared" ref="N43:N45" si="25">L43+1</f>
        <v>45958</v>
      </c>
      <c r="O43" s="22">
        <f t="shared" si="3"/>
        <v>45961</v>
      </c>
      <c r="P43" s="11">
        <v>43</v>
      </c>
      <c r="Q43" s="22">
        <f t="shared" si="4"/>
        <v>45989</v>
      </c>
      <c r="R43" s="22">
        <f t="shared" si="5"/>
        <v>45992</v>
      </c>
      <c r="S43" s="11">
        <v>40</v>
      </c>
      <c r="T43" s="22">
        <f t="shared" ref="T43:T45" si="26">R43+1</f>
        <v>45993</v>
      </c>
      <c r="U43" s="22">
        <f t="shared" si="8"/>
        <v>46008</v>
      </c>
      <c r="V43" s="11">
        <v>20</v>
      </c>
    </row>
    <row r="44" spans="1:23" x14ac:dyDescent="0.2">
      <c r="A44" s="11" t="s">
        <v>242</v>
      </c>
      <c r="B44" s="11" t="s">
        <v>233</v>
      </c>
      <c r="C44" s="11" t="s">
        <v>266</v>
      </c>
      <c r="D44" s="11" t="s">
        <v>21</v>
      </c>
      <c r="E44" s="22">
        <v>45992</v>
      </c>
      <c r="F44" s="22">
        <f t="shared" si="0"/>
        <v>46022</v>
      </c>
      <c r="G44" s="22"/>
      <c r="H44" s="22"/>
      <c r="I44" s="11" t="s">
        <v>66</v>
      </c>
      <c r="J44" s="11" t="s">
        <v>66</v>
      </c>
      <c r="K44" s="22">
        <f t="shared" si="1"/>
        <v>45977</v>
      </c>
      <c r="L44" s="22">
        <f t="shared" si="2"/>
        <v>45987</v>
      </c>
      <c r="M44" s="11">
        <v>45</v>
      </c>
      <c r="N44" s="22">
        <f t="shared" si="25"/>
        <v>45988</v>
      </c>
      <c r="O44" s="22">
        <f t="shared" si="3"/>
        <v>45991</v>
      </c>
      <c r="P44" s="11">
        <v>43</v>
      </c>
      <c r="Q44" s="22">
        <f t="shared" si="4"/>
        <v>46019</v>
      </c>
      <c r="R44" s="22">
        <f t="shared" si="5"/>
        <v>46022</v>
      </c>
      <c r="S44" s="11">
        <v>40</v>
      </c>
      <c r="T44" s="22">
        <f t="shared" si="26"/>
        <v>46023</v>
      </c>
      <c r="U44" s="22">
        <f t="shared" si="8"/>
        <v>46038</v>
      </c>
      <c r="V44" s="11">
        <v>20</v>
      </c>
    </row>
    <row r="45" spans="1:23" x14ac:dyDescent="0.2">
      <c r="A45" s="11" t="s">
        <v>242</v>
      </c>
      <c r="B45" s="11" t="s">
        <v>233</v>
      </c>
      <c r="C45" s="11" t="s">
        <v>266</v>
      </c>
      <c r="D45" s="11" t="s">
        <v>21</v>
      </c>
      <c r="E45" s="22">
        <v>46023</v>
      </c>
      <c r="F45" s="22">
        <f t="shared" si="0"/>
        <v>46053</v>
      </c>
      <c r="G45" s="22"/>
      <c r="H45" s="22"/>
      <c r="I45" s="11" t="s">
        <v>66</v>
      </c>
      <c r="J45" s="11" t="s">
        <v>66</v>
      </c>
      <c r="K45" s="22">
        <f t="shared" si="1"/>
        <v>46008</v>
      </c>
      <c r="L45" s="22">
        <f t="shared" si="2"/>
        <v>46018</v>
      </c>
      <c r="M45" s="11">
        <v>45</v>
      </c>
      <c r="N45" s="22">
        <f t="shared" si="25"/>
        <v>46019</v>
      </c>
      <c r="O45" s="22">
        <f t="shared" si="3"/>
        <v>46022</v>
      </c>
      <c r="P45" s="11">
        <v>43</v>
      </c>
      <c r="Q45" s="22">
        <f t="shared" si="4"/>
        <v>46050</v>
      </c>
      <c r="R45" s="22">
        <f t="shared" si="5"/>
        <v>46053</v>
      </c>
      <c r="S45" s="11">
        <v>40</v>
      </c>
      <c r="T45" s="22">
        <f t="shared" si="26"/>
        <v>46054</v>
      </c>
      <c r="U45" s="22">
        <f t="shared" si="8"/>
        <v>46069</v>
      </c>
      <c r="V45" s="11">
        <v>20</v>
      </c>
    </row>
    <row r="46" spans="1:23" x14ac:dyDescent="0.2">
      <c r="A46" s="11" t="s">
        <v>242</v>
      </c>
      <c r="B46" s="11" t="s">
        <v>233</v>
      </c>
      <c r="C46" s="11" t="s">
        <v>267</v>
      </c>
      <c r="D46" s="11" t="s">
        <v>21</v>
      </c>
      <c r="E46" s="22">
        <v>46023</v>
      </c>
      <c r="F46" s="22">
        <f t="shared" si="0"/>
        <v>46053</v>
      </c>
      <c r="G46" s="22"/>
      <c r="H46" s="22"/>
      <c r="I46" s="11" t="s">
        <v>66</v>
      </c>
      <c r="J46" s="11" t="s">
        <v>66</v>
      </c>
      <c r="K46" s="22">
        <f t="shared" si="1"/>
        <v>46008</v>
      </c>
      <c r="L46" s="22">
        <f t="shared" si="2"/>
        <v>46018</v>
      </c>
      <c r="M46" s="11">
        <v>45</v>
      </c>
      <c r="N46" s="22">
        <f>L46+1</f>
        <v>46019</v>
      </c>
      <c r="O46" s="22">
        <f t="shared" si="3"/>
        <v>46022</v>
      </c>
      <c r="P46" s="11">
        <v>43</v>
      </c>
      <c r="Q46" s="22">
        <f t="shared" si="4"/>
        <v>46050</v>
      </c>
      <c r="R46" s="22">
        <f t="shared" si="5"/>
        <v>46053</v>
      </c>
      <c r="S46" s="11">
        <v>40</v>
      </c>
      <c r="T46" s="22">
        <f>R46+1</f>
        <v>46054</v>
      </c>
      <c r="U46" s="22">
        <f>T46+15</f>
        <v>46069</v>
      </c>
      <c r="V46" s="11">
        <v>20</v>
      </c>
    </row>
    <row r="47" spans="1:23" x14ac:dyDescent="0.2">
      <c r="A47" s="11" t="s">
        <v>242</v>
      </c>
      <c r="B47" s="11" t="s">
        <v>233</v>
      </c>
      <c r="C47" s="11" t="s">
        <v>267</v>
      </c>
      <c r="D47" s="11" t="s">
        <v>21</v>
      </c>
      <c r="E47" s="22">
        <v>45962</v>
      </c>
      <c r="F47" s="22">
        <f t="shared" si="0"/>
        <v>45992</v>
      </c>
      <c r="G47" s="22"/>
      <c r="H47" s="22"/>
      <c r="I47" s="11" t="s">
        <v>66</v>
      </c>
      <c r="J47" s="11" t="s">
        <v>66</v>
      </c>
      <c r="K47" s="22">
        <f t="shared" si="1"/>
        <v>45947</v>
      </c>
      <c r="L47" s="22">
        <f t="shared" si="2"/>
        <v>45957</v>
      </c>
      <c r="M47" s="11">
        <v>45</v>
      </c>
      <c r="N47" s="22">
        <f t="shared" ref="N47:N49" si="27">L47+1</f>
        <v>45958</v>
      </c>
      <c r="O47" s="22">
        <f t="shared" si="3"/>
        <v>45961</v>
      </c>
      <c r="P47" s="11">
        <v>43</v>
      </c>
      <c r="Q47" s="22">
        <f t="shared" si="4"/>
        <v>45989</v>
      </c>
      <c r="R47" s="22">
        <f t="shared" si="5"/>
        <v>45992</v>
      </c>
      <c r="S47" s="11">
        <v>40</v>
      </c>
      <c r="T47" s="22">
        <f t="shared" ref="T47:T49" si="28">R47+1</f>
        <v>45993</v>
      </c>
      <c r="U47" s="22">
        <f t="shared" si="8"/>
        <v>46008</v>
      </c>
      <c r="V47" s="11">
        <v>20</v>
      </c>
    </row>
    <row r="48" spans="1:23" x14ac:dyDescent="0.2">
      <c r="A48" s="11" t="s">
        <v>242</v>
      </c>
      <c r="B48" s="11" t="s">
        <v>233</v>
      </c>
      <c r="C48" s="11" t="s">
        <v>267</v>
      </c>
      <c r="D48" s="11" t="s">
        <v>21</v>
      </c>
      <c r="E48" s="22">
        <v>45992</v>
      </c>
      <c r="F48" s="22">
        <f t="shared" si="0"/>
        <v>46022</v>
      </c>
      <c r="G48" s="22"/>
      <c r="H48" s="22"/>
      <c r="I48" s="11" t="s">
        <v>66</v>
      </c>
      <c r="J48" s="11" t="s">
        <v>66</v>
      </c>
      <c r="K48" s="22">
        <f t="shared" si="1"/>
        <v>45977</v>
      </c>
      <c r="L48" s="22">
        <f t="shared" si="2"/>
        <v>45987</v>
      </c>
      <c r="M48" s="11">
        <v>45</v>
      </c>
      <c r="N48" s="22">
        <f t="shared" si="27"/>
        <v>45988</v>
      </c>
      <c r="O48" s="22">
        <f t="shared" si="3"/>
        <v>45991</v>
      </c>
      <c r="P48" s="11">
        <v>43</v>
      </c>
      <c r="Q48" s="22">
        <f t="shared" si="4"/>
        <v>46019</v>
      </c>
      <c r="R48" s="22">
        <f t="shared" si="5"/>
        <v>46022</v>
      </c>
      <c r="S48" s="11">
        <v>40</v>
      </c>
      <c r="T48" s="22">
        <f t="shared" si="28"/>
        <v>46023</v>
      </c>
      <c r="U48" s="22">
        <f t="shared" si="8"/>
        <v>46038</v>
      </c>
      <c r="V48" s="11">
        <v>20</v>
      </c>
    </row>
    <row r="49" spans="1:22" x14ac:dyDescent="0.2">
      <c r="A49" s="11" t="s">
        <v>242</v>
      </c>
      <c r="B49" s="11" t="s">
        <v>233</v>
      </c>
      <c r="C49" s="11" t="s">
        <v>267</v>
      </c>
      <c r="D49" s="11" t="s">
        <v>21</v>
      </c>
      <c r="E49" s="22">
        <v>46023</v>
      </c>
      <c r="F49" s="22">
        <f t="shared" si="0"/>
        <v>46053</v>
      </c>
      <c r="G49" s="22"/>
      <c r="H49" s="22"/>
      <c r="I49" s="11" t="s">
        <v>66</v>
      </c>
      <c r="J49" s="11" t="s">
        <v>66</v>
      </c>
      <c r="K49" s="22">
        <f t="shared" si="1"/>
        <v>46008</v>
      </c>
      <c r="L49" s="22">
        <f t="shared" si="2"/>
        <v>46018</v>
      </c>
      <c r="M49" s="11">
        <v>45</v>
      </c>
      <c r="N49" s="22">
        <f t="shared" si="27"/>
        <v>46019</v>
      </c>
      <c r="O49" s="22">
        <f t="shared" si="3"/>
        <v>46022</v>
      </c>
      <c r="P49" s="11">
        <v>43</v>
      </c>
      <c r="Q49" s="22">
        <f t="shared" si="4"/>
        <v>46050</v>
      </c>
      <c r="R49" s="22">
        <f t="shared" si="5"/>
        <v>46053</v>
      </c>
      <c r="S49" s="11">
        <v>40</v>
      </c>
      <c r="T49" s="22">
        <f t="shared" si="28"/>
        <v>46054</v>
      </c>
      <c r="U49" s="22">
        <f t="shared" si="8"/>
        <v>46069</v>
      </c>
      <c r="V49" s="11">
        <v>20</v>
      </c>
    </row>
    <row r="50" spans="1:22" x14ac:dyDescent="0.2">
      <c r="A50" s="11" t="s">
        <v>242</v>
      </c>
      <c r="B50" s="11" t="s">
        <v>233</v>
      </c>
      <c r="C50" s="11" t="s">
        <v>268</v>
      </c>
      <c r="D50" s="11" t="s">
        <v>21</v>
      </c>
      <c r="E50" s="22">
        <v>45945</v>
      </c>
      <c r="F50" s="22">
        <f t="shared" si="0"/>
        <v>45975</v>
      </c>
      <c r="G50" s="22"/>
      <c r="H50" s="22"/>
      <c r="I50" s="11" t="s">
        <v>66</v>
      </c>
      <c r="J50" s="11" t="s">
        <v>66</v>
      </c>
      <c r="K50" s="22">
        <f t="shared" si="1"/>
        <v>45930</v>
      </c>
      <c r="L50" s="22">
        <f t="shared" si="2"/>
        <v>45940</v>
      </c>
      <c r="M50" s="11">
        <v>35</v>
      </c>
      <c r="N50" s="22">
        <f>L50+1</f>
        <v>45941</v>
      </c>
      <c r="O50" s="22">
        <f t="shared" si="3"/>
        <v>45944</v>
      </c>
      <c r="P50" s="11">
        <v>33</v>
      </c>
      <c r="Q50" s="22">
        <f t="shared" si="4"/>
        <v>45972</v>
      </c>
      <c r="R50" s="22">
        <f t="shared" si="5"/>
        <v>45975</v>
      </c>
      <c r="S50" s="11">
        <v>30</v>
      </c>
      <c r="T50" s="22">
        <f>R50+1</f>
        <v>45976</v>
      </c>
      <c r="U50" s="22">
        <f>T50+15</f>
        <v>45991</v>
      </c>
      <c r="V50" s="11">
        <v>15</v>
      </c>
    </row>
    <row r="51" spans="1:22" x14ac:dyDescent="0.2">
      <c r="A51" s="11" t="s">
        <v>242</v>
      </c>
      <c r="B51" s="11" t="s">
        <v>233</v>
      </c>
      <c r="C51" s="11" t="s">
        <v>268</v>
      </c>
      <c r="D51" s="11" t="s">
        <v>21</v>
      </c>
      <c r="E51" s="22">
        <v>45962</v>
      </c>
      <c r="F51" s="22">
        <f t="shared" si="0"/>
        <v>45992</v>
      </c>
      <c r="G51" s="22"/>
      <c r="H51" s="22"/>
      <c r="I51" s="11" t="s">
        <v>66</v>
      </c>
      <c r="J51" s="11" t="s">
        <v>66</v>
      </c>
      <c r="K51" s="22">
        <f t="shared" si="1"/>
        <v>45947</v>
      </c>
      <c r="L51" s="22">
        <f t="shared" si="2"/>
        <v>45957</v>
      </c>
      <c r="M51" s="11">
        <v>35</v>
      </c>
      <c r="N51" s="22">
        <f t="shared" ref="N51:N55" si="29">L51+1</f>
        <v>45958</v>
      </c>
      <c r="O51" s="22">
        <f t="shared" si="3"/>
        <v>45961</v>
      </c>
      <c r="P51" s="11">
        <v>33</v>
      </c>
      <c r="Q51" s="22">
        <f t="shared" si="4"/>
        <v>45989</v>
      </c>
      <c r="R51" s="22">
        <f t="shared" si="5"/>
        <v>45992</v>
      </c>
      <c r="S51" s="11">
        <v>30</v>
      </c>
      <c r="T51" s="22">
        <f t="shared" ref="T51:T55" si="30">R51+1</f>
        <v>45993</v>
      </c>
      <c r="U51" s="22">
        <f t="shared" ref="U51:U55" si="31">T51+15</f>
        <v>46008</v>
      </c>
      <c r="V51" s="11">
        <v>15</v>
      </c>
    </row>
    <row r="52" spans="1:22" x14ac:dyDescent="0.2">
      <c r="A52" s="11" t="s">
        <v>242</v>
      </c>
      <c r="B52" s="11" t="s">
        <v>233</v>
      </c>
      <c r="C52" s="11" t="s">
        <v>268</v>
      </c>
      <c r="D52" s="11" t="s">
        <v>21</v>
      </c>
      <c r="E52" s="22">
        <v>45976</v>
      </c>
      <c r="F52" s="22">
        <f t="shared" si="0"/>
        <v>46006</v>
      </c>
      <c r="G52" s="22"/>
      <c r="H52" s="22"/>
      <c r="I52" s="11" t="s">
        <v>66</v>
      </c>
      <c r="J52" s="11" t="s">
        <v>66</v>
      </c>
      <c r="K52" s="22">
        <f t="shared" si="1"/>
        <v>45961</v>
      </c>
      <c r="L52" s="22">
        <f t="shared" si="2"/>
        <v>45971</v>
      </c>
      <c r="M52" s="11">
        <v>35</v>
      </c>
      <c r="N52" s="22">
        <f t="shared" si="29"/>
        <v>45972</v>
      </c>
      <c r="O52" s="22">
        <f t="shared" si="3"/>
        <v>45975</v>
      </c>
      <c r="P52" s="11">
        <v>33</v>
      </c>
      <c r="Q52" s="22">
        <f t="shared" si="4"/>
        <v>46003</v>
      </c>
      <c r="R52" s="22">
        <f t="shared" si="5"/>
        <v>46006</v>
      </c>
      <c r="S52" s="11">
        <v>30</v>
      </c>
      <c r="T52" s="22">
        <f t="shared" si="30"/>
        <v>46007</v>
      </c>
      <c r="U52" s="22">
        <f t="shared" si="31"/>
        <v>46022</v>
      </c>
      <c r="V52" s="11">
        <v>15</v>
      </c>
    </row>
    <row r="53" spans="1:22" x14ac:dyDescent="0.2">
      <c r="A53" s="11" t="s">
        <v>242</v>
      </c>
      <c r="B53" s="11" t="s">
        <v>233</v>
      </c>
      <c r="C53" s="11" t="s">
        <v>268</v>
      </c>
      <c r="D53" s="11" t="s">
        <v>21</v>
      </c>
      <c r="E53" s="22">
        <v>45993</v>
      </c>
      <c r="F53" s="22">
        <f t="shared" si="0"/>
        <v>46023</v>
      </c>
      <c r="G53" s="22"/>
      <c r="H53" s="22"/>
      <c r="I53" s="11" t="s">
        <v>66</v>
      </c>
      <c r="J53" s="11" t="s">
        <v>66</v>
      </c>
      <c r="K53" s="22">
        <f t="shared" si="1"/>
        <v>45978</v>
      </c>
      <c r="L53" s="22">
        <f t="shared" si="2"/>
        <v>45988</v>
      </c>
      <c r="M53" s="11">
        <v>35</v>
      </c>
      <c r="N53" s="22">
        <f t="shared" si="29"/>
        <v>45989</v>
      </c>
      <c r="O53" s="22">
        <f t="shared" si="3"/>
        <v>45992</v>
      </c>
      <c r="P53" s="11">
        <v>33</v>
      </c>
      <c r="Q53" s="22">
        <f t="shared" si="4"/>
        <v>46020</v>
      </c>
      <c r="R53" s="22">
        <f t="shared" si="5"/>
        <v>46023</v>
      </c>
      <c r="S53" s="11">
        <v>30</v>
      </c>
      <c r="T53" s="22">
        <f t="shared" si="30"/>
        <v>46024</v>
      </c>
      <c r="U53" s="22">
        <f t="shared" si="31"/>
        <v>46039</v>
      </c>
      <c r="V53" s="11">
        <v>15</v>
      </c>
    </row>
    <row r="54" spans="1:22" x14ac:dyDescent="0.2">
      <c r="A54" s="11" t="s">
        <v>242</v>
      </c>
      <c r="B54" s="11" t="s">
        <v>233</v>
      </c>
      <c r="C54" s="11" t="s">
        <v>268</v>
      </c>
      <c r="D54" s="11" t="s">
        <v>21</v>
      </c>
      <c r="E54" s="22">
        <v>46006</v>
      </c>
      <c r="F54" s="22">
        <f t="shared" si="0"/>
        <v>46036</v>
      </c>
      <c r="G54" s="22"/>
      <c r="H54" s="22"/>
      <c r="I54" s="11" t="s">
        <v>66</v>
      </c>
      <c r="J54" s="11" t="s">
        <v>66</v>
      </c>
      <c r="K54" s="22">
        <f t="shared" si="1"/>
        <v>45991</v>
      </c>
      <c r="L54" s="22">
        <f t="shared" si="2"/>
        <v>46001</v>
      </c>
      <c r="M54" s="11">
        <v>35</v>
      </c>
      <c r="N54" s="22">
        <f t="shared" si="29"/>
        <v>46002</v>
      </c>
      <c r="O54" s="22">
        <f t="shared" si="3"/>
        <v>46005</v>
      </c>
      <c r="P54" s="11">
        <v>33</v>
      </c>
      <c r="Q54" s="22">
        <f t="shared" si="4"/>
        <v>46033</v>
      </c>
      <c r="R54" s="22">
        <f t="shared" si="5"/>
        <v>46036</v>
      </c>
      <c r="S54" s="11">
        <v>30</v>
      </c>
      <c r="T54" s="22">
        <f t="shared" si="30"/>
        <v>46037</v>
      </c>
      <c r="U54" s="22">
        <f t="shared" si="31"/>
        <v>46052</v>
      </c>
      <c r="V54" s="11">
        <v>15</v>
      </c>
    </row>
    <row r="55" spans="1:22" x14ac:dyDescent="0.2">
      <c r="A55" s="11" t="s">
        <v>242</v>
      </c>
      <c r="B55" s="11" t="s">
        <v>233</v>
      </c>
      <c r="C55" s="11" t="s">
        <v>268</v>
      </c>
      <c r="D55" s="11" t="s">
        <v>21</v>
      </c>
      <c r="E55" s="22">
        <v>46024</v>
      </c>
      <c r="F55" s="22">
        <f t="shared" si="0"/>
        <v>46054</v>
      </c>
      <c r="G55" s="22"/>
      <c r="H55" s="22"/>
      <c r="I55" s="11" t="s">
        <v>66</v>
      </c>
      <c r="J55" s="11" t="s">
        <v>66</v>
      </c>
      <c r="K55" s="22">
        <f t="shared" si="1"/>
        <v>46009</v>
      </c>
      <c r="L55" s="22">
        <f t="shared" si="2"/>
        <v>46019</v>
      </c>
      <c r="M55" s="11">
        <v>35</v>
      </c>
      <c r="N55" s="22">
        <f t="shared" si="29"/>
        <v>46020</v>
      </c>
      <c r="O55" s="22">
        <f t="shared" si="3"/>
        <v>46023</v>
      </c>
      <c r="P55" s="11">
        <v>33</v>
      </c>
      <c r="Q55" s="22">
        <f t="shared" si="4"/>
        <v>46051</v>
      </c>
      <c r="R55" s="22">
        <f t="shared" si="5"/>
        <v>46054</v>
      </c>
      <c r="S55" s="11">
        <v>30</v>
      </c>
      <c r="T55" s="22">
        <f t="shared" si="30"/>
        <v>46055</v>
      </c>
      <c r="U55" s="22">
        <f t="shared" si="31"/>
        <v>46070</v>
      </c>
      <c r="V55" s="11">
        <v>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B672EC96D6FDE4EB2E6668C9ADE7DEE" ma:contentTypeVersion="3" ma:contentTypeDescription="Create a new document." ma:contentTypeScope="" ma:versionID="ab2859436c95731183ad752947062c0c">
  <xsd:schema xmlns:xsd="http://www.w3.org/2001/XMLSchema" xmlns:xs="http://www.w3.org/2001/XMLSchema" xmlns:p="http://schemas.microsoft.com/office/2006/metadata/properties" xmlns:ns2="e332fbd4-7820-4897-a05d-5209fbf337eb" targetNamespace="http://schemas.microsoft.com/office/2006/metadata/properties" ma:root="true" ma:fieldsID="ed34b38b16defae23c31c2ec8e5360cc" ns2:_="">
    <xsd:import namespace="e332fbd4-7820-4897-a05d-5209fbf337e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32fbd4-7820-4897-a05d-5209fbf337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C2521BE-37D6-4FC5-B841-47943647DBE8}">
  <ds:schemaRefs>
    <ds:schemaRef ds:uri="http://schemas.microsoft.com/sharepoint/v3/contenttype/forms"/>
  </ds:schemaRefs>
</ds:datastoreItem>
</file>

<file path=customXml/itemProps2.xml><?xml version="1.0" encoding="utf-8"?>
<ds:datastoreItem xmlns:ds="http://schemas.openxmlformats.org/officeDocument/2006/customXml" ds:itemID="{5BD316B7-6548-4857-A3C2-7B2CE8F0E8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32fbd4-7820-4897-a05d-5209fbf337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B9D359B-0834-4915-BA5B-747CD3FC6A4B}">
  <ds:schemaRefs>
    <ds:schemaRef ds:uri="87ad1279-8091-4b02-b195-4d57aba8a3b0"/>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http://purl.org/dc/dcmitype/"/>
    <ds:schemaRef ds:uri="http://www.w3.org/XML/1998/namespace"/>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Project Overview</vt:lpstr>
      <vt:lpstr>Activity sheet </vt:lpstr>
      <vt:lpstr>HR sheet </vt:lpstr>
      <vt:lpstr>Course Details</vt:lpstr>
      <vt:lpstr>Mobilization Table</vt:lpstr>
      <vt:lpstr>Marketing</vt:lpstr>
      <vt:lpstr>Batch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Kashyap</dc:creator>
  <cp:lastModifiedBy>akhil ramchand</cp:lastModifiedBy>
  <dcterms:created xsi:type="dcterms:W3CDTF">2025-09-09T04:37:24Z</dcterms:created>
  <dcterms:modified xsi:type="dcterms:W3CDTF">2025-11-10T10:37:06Z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0x010100EB672EC96D6FDE4EB2E6668C9ADE7DEE</vt:lpwstr>
  </property>
</Properties>
</file>