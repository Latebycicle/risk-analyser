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PC cost split" sheetId="2" r:id="rId2"/>
  </sheets>
  <definedNames>
    <definedName name="_xlnm._FilterDatabase" localSheetId="0" hidden="1">Sheet1!$A$4:$BR$21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1" i="1" l="1"/>
  <c r="AO20" i="1"/>
  <c r="BA19" i="1"/>
  <c r="BA20" i="1" s="1"/>
  <c r="AX19" i="1"/>
  <c r="AU19" i="1"/>
  <c r="AR19" i="1"/>
  <c r="AO19" i="1"/>
  <c r="BA18" i="1"/>
  <c r="BA17" i="1"/>
  <c r="AX18" i="1"/>
  <c r="AX17" i="1"/>
  <c r="AX20" i="1" s="1"/>
  <c r="AU18" i="1"/>
  <c r="AU17" i="1"/>
  <c r="AR18" i="1"/>
  <c r="BD18" i="1" s="1"/>
  <c r="AR17" i="1"/>
  <c r="AR20" i="1" s="1"/>
  <c r="BA16" i="1"/>
  <c r="AX16" i="1"/>
  <c r="AU16" i="1"/>
  <c r="AR16" i="1"/>
  <c r="I18" i="2"/>
  <c r="H18" i="2"/>
  <c r="G18" i="2"/>
  <c r="F18" i="2"/>
  <c r="E18" i="2"/>
  <c r="D12" i="2"/>
  <c r="BD15" i="1"/>
  <c r="AU13" i="1"/>
  <c r="AU20" i="1" s="1"/>
  <c r="AO13" i="1"/>
  <c r="BA9" i="1"/>
  <c r="BA21" i="1" s="1"/>
  <c r="AX9" i="1"/>
  <c r="AX21" i="1" s="1"/>
  <c r="AU9" i="1"/>
  <c r="AU21" i="1" s="1"/>
  <c r="AR9" i="1"/>
  <c r="AR21" i="1" s="1"/>
  <c r="BD5" i="1"/>
  <c r="BE5" i="1"/>
  <c r="BD6" i="1"/>
  <c r="BE6" i="1"/>
  <c r="BD7" i="1"/>
  <c r="BE7" i="1"/>
  <c r="BD8" i="1"/>
  <c r="BE8" i="1"/>
  <c r="E7" i="2"/>
  <c r="J7" i="2" s="1"/>
  <c r="E6" i="2"/>
  <c r="J6" i="2" s="1"/>
  <c r="E5" i="2"/>
  <c r="I5" i="2" s="1"/>
  <c r="E4" i="2"/>
  <c r="I4" i="2" s="1"/>
  <c r="BD13" i="1" l="1"/>
  <c r="J4" i="2"/>
  <c r="F5" i="2"/>
  <c r="G5" i="2"/>
  <c r="H5" i="2"/>
  <c r="J5" i="2"/>
  <c r="F4" i="2"/>
  <c r="G4" i="2"/>
  <c r="H4" i="2"/>
  <c r="G7" i="2"/>
  <c r="F6" i="2"/>
  <c r="E8" i="2"/>
  <c r="G6" i="2"/>
  <c r="H6" i="2"/>
  <c r="I6" i="2"/>
  <c r="F7" i="2"/>
  <c r="H7" i="2"/>
  <c r="I7" i="2"/>
  <c r="BI14" i="1" l="1"/>
  <c r="BJ14" i="1"/>
  <c r="BD14" i="1"/>
  <c r="BE14" i="1"/>
  <c r="BF14" i="1"/>
  <c r="BH14" i="1" l="1"/>
  <c r="BK14" i="1"/>
  <c r="BG14" i="1"/>
  <c r="BI21" i="1" l="1"/>
  <c r="BI20" i="1"/>
  <c r="BI19" i="1"/>
  <c r="BD11" i="1"/>
  <c r="BD10" i="1"/>
  <c r="BJ21" i="1"/>
  <c r="BF21" i="1"/>
  <c r="BE21" i="1"/>
  <c r="BJ20" i="1"/>
  <c r="BF20" i="1"/>
  <c r="BE20" i="1"/>
  <c r="BD20" i="1"/>
  <c r="BJ19" i="1"/>
  <c r="BF19" i="1"/>
  <c r="BE19" i="1"/>
  <c r="BD19" i="1"/>
  <c r="BG19" i="1" s="1"/>
  <c r="BJ18" i="1"/>
  <c r="BI18" i="1"/>
  <c r="BF18" i="1"/>
  <c r="BE18" i="1"/>
  <c r="BJ17" i="1"/>
  <c r="BI17" i="1"/>
  <c r="BK17" i="1" s="1"/>
  <c r="BF17" i="1"/>
  <c r="BE17" i="1"/>
  <c r="BD17" i="1"/>
  <c r="BJ16" i="1"/>
  <c r="BI16" i="1"/>
  <c r="BK16" i="1" s="1"/>
  <c r="BF16" i="1"/>
  <c r="BE16" i="1"/>
  <c r="BD16" i="1"/>
  <c r="BJ12" i="1"/>
  <c r="BI12" i="1"/>
  <c r="BF12" i="1"/>
  <c r="BE12" i="1"/>
  <c r="BD12" i="1"/>
  <c r="BJ11" i="1"/>
  <c r="BF11" i="1"/>
  <c r="BE11" i="1"/>
  <c r="BJ10" i="1"/>
  <c r="BF10" i="1"/>
  <c r="BE10" i="1"/>
  <c r="BJ9" i="1"/>
  <c r="BI9" i="1"/>
  <c r="BF9" i="1"/>
  <c r="BE9" i="1"/>
  <c r="BD9" i="1"/>
  <c r="BG9" i="1" s="1"/>
  <c r="BF6" i="1"/>
  <c r="BI6" i="1"/>
  <c r="BJ6" i="1"/>
  <c r="BF7" i="1"/>
  <c r="BI7" i="1"/>
  <c r="BJ7" i="1"/>
  <c r="BF8" i="1"/>
  <c r="BI8" i="1"/>
  <c r="BJ8" i="1"/>
  <c r="BH16" i="1" l="1"/>
  <c r="BG17" i="1"/>
  <c r="BK6" i="1"/>
  <c r="BG12" i="1"/>
  <c r="BH6" i="1"/>
  <c r="BI10" i="1"/>
  <c r="BK10" i="1" s="1"/>
  <c r="BH7" i="1"/>
  <c r="BH8" i="1"/>
  <c r="BH11" i="1"/>
  <c r="BG8" i="1"/>
  <c r="BK9" i="1"/>
  <c r="BK12" i="1"/>
  <c r="BG18" i="1"/>
  <c r="BH17" i="1"/>
  <c r="BH9" i="1"/>
  <c r="BH20" i="1"/>
  <c r="BK8" i="1"/>
  <c r="BG6" i="1"/>
  <c r="BG7" i="1"/>
  <c r="BH18" i="1"/>
  <c r="BH21" i="1"/>
  <c r="BG10" i="1"/>
  <c r="BG16" i="1"/>
  <c r="BK21" i="1"/>
  <c r="BK18" i="1"/>
  <c r="BH19" i="1"/>
  <c r="BK7" i="1"/>
  <c r="BG11" i="1"/>
  <c r="BK19" i="1"/>
  <c r="BH10" i="1"/>
  <c r="BH12" i="1"/>
  <c r="BG20" i="1"/>
  <c r="BD21" i="1"/>
  <c r="BG21" i="1" s="1"/>
  <c r="BK20" i="1"/>
  <c r="BI11" i="1"/>
  <c r="BK11" i="1" s="1"/>
  <c r="BC3" i="1" l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BJ5" i="1"/>
  <c r="BJ3" i="1" s="1"/>
  <c r="BI5" i="1"/>
  <c r="BK5" i="1" s="1"/>
  <c r="BF5" i="1"/>
  <c r="BF3" i="1" s="1"/>
  <c r="BE3" i="1"/>
  <c r="BD3" i="1" l="1"/>
  <c r="BK3" i="1"/>
  <c r="BH5" i="1"/>
  <c r="BH3" i="1" s="1"/>
  <c r="BI3" i="1"/>
  <c r="BG5" i="1"/>
  <c r="BG3" i="1" s="1"/>
</calcChain>
</file>

<file path=xl/sharedStrings.xml><?xml version="1.0" encoding="utf-8"?>
<sst xmlns="http://schemas.openxmlformats.org/spreadsheetml/2006/main" count="338" uniqueCount="139">
  <si>
    <t>Project ID</t>
  </si>
  <si>
    <t>Contract ID</t>
  </si>
  <si>
    <t>FCRA/Regulated/Non FCRA/Non Regulated</t>
  </si>
  <si>
    <t>GST</t>
  </si>
  <si>
    <t>Entity</t>
  </si>
  <si>
    <t>Project name</t>
  </si>
  <si>
    <t>Center</t>
  </si>
  <si>
    <t>Location</t>
  </si>
  <si>
    <t>State</t>
  </si>
  <si>
    <t>Region</t>
  </si>
  <si>
    <t>Project StartMonth</t>
  </si>
  <si>
    <t>Project End Month</t>
  </si>
  <si>
    <t>PC/NPC</t>
  </si>
  <si>
    <t>Budget head</t>
  </si>
  <si>
    <t>Vendor/Role Category</t>
  </si>
  <si>
    <t>VCO Owner</t>
  </si>
  <si>
    <t>Primary Owner</t>
  </si>
  <si>
    <t>Cost head</t>
  </si>
  <si>
    <t>Opening Balance as on 1st April 2025</t>
  </si>
  <si>
    <t>Plan Apr-25</t>
  </si>
  <si>
    <t xml:space="preserve"> Claim Apr-25</t>
  </si>
  <si>
    <t xml:space="preserve"> D365 Apr-25</t>
  </si>
  <si>
    <t>Plan May-25</t>
  </si>
  <si>
    <t>Claim May-25</t>
  </si>
  <si>
    <t>D365 May-25</t>
  </si>
  <si>
    <t>Plan Jun-25</t>
  </si>
  <si>
    <t>Claim Jun-25</t>
  </si>
  <si>
    <t>D365 Jun-25</t>
  </si>
  <si>
    <t>Plan Jul-25</t>
  </si>
  <si>
    <t>Claim Jul-25</t>
  </si>
  <si>
    <t>D365 Jul-25</t>
  </si>
  <si>
    <t>Plan Aug-25</t>
  </si>
  <si>
    <t>Claim Aug-25</t>
  </si>
  <si>
    <t>D365 Aug-25</t>
  </si>
  <si>
    <t>Plan Sep-25</t>
  </si>
  <si>
    <t>Claim Sep-25</t>
  </si>
  <si>
    <t>D365 Sep-25</t>
  </si>
  <si>
    <t>Plan Oct-25</t>
  </si>
  <si>
    <t>Claim Oct-25</t>
  </si>
  <si>
    <t>D365 Oct-25</t>
  </si>
  <si>
    <t>Plan Nov 25</t>
  </si>
  <si>
    <t>Claim Nov-25</t>
  </si>
  <si>
    <t>D365 Nov-25</t>
  </si>
  <si>
    <t>Plan Dec-25</t>
  </si>
  <si>
    <t>Claim Dec-25</t>
  </si>
  <si>
    <t>D365 Dec-25</t>
  </si>
  <si>
    <t>Plan Jan-26</t>
  </si>
  <si>
    <t>Claim Jan-26</t>
  </si>
  <si>
    <t>D365 Jan-26</t>
  </si>
  <si>
    <t>Plan Feb-26</t>
  </si>
  <si>
    <t>Claims Feb-26</t>
  </si>
  <si>
    <t>D3645 Feb-26</t>
  </si>
  <si>
    <t>Plan Mar-26</t>
  </si>
  <si>
    <t>Claim Mar-26</t>
  </si>
  <si>
    <t>D365 Mar-26</t>
  </si>
  <si>
    <t>Plan Total 2025-26</t>
  </si>
  <si>
    <t>Total Claims 25-26</t>
  </si>
  <si>
    <t>Total D365 2025-26</t>
  </si>
  <si>
    <t>Plan Vs. Claim Variance</t>
  </si>
  <si>
    <t>Claim's &amp; D365 Variance</t>
  </si>
  <si>
    <t>YTD Plan</t>
  </si>
  <si>
    <t>YTD Claims</t>
  </si>
  <si>
    <t>YTD Variance</t>
  </si>
  <si>
    <t>Sales</t>
  </si>
  <si>
    <t>PM Lead</t>
  </si>
  <si>
    <t>PM</t>
  </si>
  <si>
    <t>UC</t>
  </si>
  <si>
    <t>BU Head</t>
  </si>
  <si>
    <t>TM</t>
  </si>
  <si>
    <t>OB Nature</t>
  </si>
  <si>
    <t>SF</t>
  </si>
  <si>
    <t>PC</t>
  </si>
  <si>
    <t>NPC</t>
  </si>
  <si>
    <t>Contingency</t>
  </si>
  <si>
    <t>Administration Cost</t>
  </si>
  <si>
    <t>Admin</t>
  </si>
  <si>
    <t>Project Manager</t>
  </si>
  <si>
    <t>Travel</t>
  </si>
  <si>
    <t>South</t>
  </si>
  <si>
    <t>yet to create</t>
  </si>
  <si>
    <t>Tata Bluescope</t>
  </si>
  <si>
    <t>Kerela, TamilNadu</t>
  </si>
  <si>
    <t>Manpower Cost</t>
  </si>
  <si>
    <t>Facilitator</t>
  </si>
  <si>
    <t>Role</t>
  </si>
  <si>
    <t>Role Contribution</t>
  </si>
  <si>
    <t>% Allocation</t>
  </si>
  <si>
    <t>Project Coordinator cum Facilitator</t>
  </si>
  <si>
    <t>Leads awareness, manages registration, supports enrolment, donor interaction</t>
  </si>
  <si>
    <t>Handles enrolment, documentation verification, supports digital retrieval</t>
  </si>
  <si>
    <t>Operations Supervisor / Territory Manager</t>
  </si>
  <si>
    <t>Quality oversight, escalation, ensures compliance, visits selectively</t>
  </si>
  <si>
    <t>Overall oversight, reporting review, issue resolution, donor communication</t>
  </si>
  <si>
    <t>TOTAL</t>
  </si>
  <si>
    <t>—</t>
  </si>
  <si>
    <t>Per camp Cost</t>
  </si>
  <si>
    <t>No. of camps</t>
  </si>
  <si>
    <t>Nov</t>
  </si>
  <si>
    <t>Dec</t>
  </si>
  <si>
    <t>Jan</t>
  </si>
  <si>
    <t>Feb</t>
  </si>
  <si>
    <t>Mar</t>
  </si>
  <si>
    <t>Per camp total PC</t>
  </si>
  <si>
    <t>Travel and communication cost of staff</t>
  </si>
  <si>
    <t>Content customization/ Detail of scheme ,Handout &amp; Leaflet about scheme (Printed document with scheme details  )</t>
  </si>
  <si>
    <t>Content customization/ Detail of scheme ,Handout &amp; Leaflet about scheme (Printed document with scheme details  ) including translation</t>
  </si>
  <si>
    <t>Printing &amp; Stationary &amp; Training material</t>
  </si>
  <si>
    <t>Participant certificate</t>
  </si>
  <si>
    <t>Participant certificate designing</t>
  </si>
  <si>
    <t>Particpant Certificate printing</t>
  </si>
  <si>
    <t>Documentation &amp; consultation (Through phone)</t>
  </si>
  <si>
    <t>MIS &amp; Beneficiary Support Executive</t>
  </si>
  <si>
    <t>Project Coordinator cum Facilitator 1</t>
  </si>
  <si>
    <t>Project Coordinator cum Facilitator 2</t>
  </si>
  <si>
    <t>Communication Cost for phone consultation</t>
  </si>
  <si>
    <t>Total budget available (70% of total budget for documentation /consultation on phone)</t>
  </si>
  <si>
    <t>% of camps</t>
  </si>
  <si>
    <t>Laptop, Projector &amp; Internet on rent</t>
  </si>
  <si>
    <t>Post awareness  Survey, analysis and report</t>
  </si>
  <si>
    <t>IT platform cost to capture beneficiary data</t>
  </si>
  <si>
    <t>Contingency @ 5%</t>
  </si>
  <si>
    <t>Admin &amp; Project management cost</t>
  </si>
  <si>
    <t>Project Coordinator</t>
  </si>
  <si>
    <t>Afreen</t>
  </si>
  <si>
    <t>Gayathri Shanker</t>
  </si>
  <si>
    <t>TM/RM/Supervisor</t>
  </si>
  <si>
    <t>Simran</t>
  </si>
  <si>
    <t>Knowledge Partner</t>
  </si>
  <si>
    <t>Ashim</t>
  </si>
  <si>
    <t>Printing &amp; Stationery</t>
  </si>
  <si>
    <t>Madhu</t>
  </si>
  <si>
    <t>SME/Experts/TOT</t>
  </si>
  <si>
    <t>MIS</t>
  </si>
  <si>
    <t>Utilities</t>
  </si>
  <si>
    <t>M&amp;E, Impact Reporting</t>
  </si>
  <si>
    <t>Platform</t>
  </si>
  <si>
    <t>Contingency/adhoc</t>
  </si>
  <si>
    <t>Overheads</t>
  </si>
  <si>
    <t>Backend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</si>
</sst>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2" fillId="2" borderId="0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1" applyNumberFormat="1" applyFont="1" applyBorder="1" applyAlignment="1">
      <alignment vertical="center"/>
    </xf>
    <xf numFmtId="14" fontId="1" fillId="0" borderId="1" xfId="1" applyNumberFormat="1" applyFont="1" applyBorder="1" applyAlignment="1">
      <alignment horizontal="left" vertical="center"/>
    </xf>
    <xf numFmtId="0" fontId="0" fillId="0" borderId="1" xfId="1" applyNumberFormat="1" applyFont="1" applyBorder="1" applyAlignment="1">
      <alignment vertical="center"/>
    </xf>
    <xf numFmtId="0" fontId="0" fillId="0" borderId="1" xfId="1" applyNumberFormat="1" applyFont="1" applyFill="1" applyBorder="1" applyAlignment="1">
      <alignment horizontal="left" vertical="center"/>
    </xf>
    <xf numFmtId="165" fontId="1" fillId="0" borderId="1" xfId="1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1" applyNumberFormat="1" applyFont="1" applyBorder="1" applyAlignment="1">
      <alignment horizontal="left" vertical="center"/>
    </xf>
    <xf numFmtId="0" fontId="0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vertical="center"/>
    </xf>
    <xf numFmtId="165" fontId="1" fillId="0" borderId="1" xfId="1" applyNumberFormat="1" applyFont="1" applyFill="1" applyBorder="1" applyAlignment="1">
      <alignment vertical="center"/>
    </xf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1" applyNumberFormat="1" applyFont="1" applyBorder="1" applyAlignment="1">
      <alignment vertical="center" wrapText="1"/>
    </xf>
    <xf numFmtId="0" fontId="2" fillId="0" borderId="0" xfId="0" applyFont="1"/>
    <xf numFmtId="9" fontId="0" fillId="0" borderId="0" xfId="2" applyFont="1"/>
    <xf numFmtId="0" fontId="1" fillId="0" borderId="1" xfId="1" applyNumberFormat="1" applyFont="1" applyFill="1" applyBorder="1" applyAlignment="1">
      <alignment horizontal="left" vertical="center"/>
    </xf>
    <xf numFmtId="0" fontId="0" fillId="7" borderId="1" xfId="1" applyNumberFormat="1" applyFont="1" applyFill="1" applyBorder="1" applyAlignment="1">
      <alignment vertical="center"/>
    </xf>
    <xf numFmtId="0" fontId="1" fillId="7" borderId="1" xfId="1" applyNumberFormat="1" applyFont="1" applyFill="1" applyBorder="1" applyAlignment="1">
      <alignment vertical="center"/>
    </xf>
    <xf numFmtId="0" fontId="0" fillId="7" borderId="1" xfId="1" applyNumberFormat="1" applyFont="1" applyFill="1" applyBorder="1" applyAlignment="1">
      <alignment horizontal="center" vertical="center"/>
    </xf>
    <xf numFmtId="0" fontId="0" fillId="7" borderId="1" xfId="1" applyNumberFormat="1" applyFont="1" applyFill="1" applyBorder="1" applyAlignment="1">
      <alignment horizontal="left" vertical="center"/>
    </xf>
    <xf numFmtId="14" fontId="1" fillId="7" borderId="1" xfId="1" applyNumberFormat="1" applyFont="1" applyFill="1" applyBorder="1" applyAlignment="1">
      <alignment horizontal="left" vertical="center"/>
    </xf>
    <xf numFmtId="165" fontId="1" fillId="7" borderId="1" xfId="1" applyNumberFormat="1" applyFont="1" applyFill="1" applyBorder="1" applyAlignment="1">
      <alignment vertical="center"/>
    </xf>
    <xf numFmtId="165" fontId="2" fillId="7" borderId="1" xfId="1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1"/>
  <sheetViews>
    <sheetView tabSelected="1" workbookViewId="0">
      <pane xSplit="19" ySplit="4" topLeftCell="AO5" activePane="bottomRight" state="frozen"/>
      <selection pane="topRight" activeCell="T1" sqref="T1"/>
      <selection pane="bottomLeft" activeCell="A5" sqref="A5"/>
      <selection pane="bottomRight" activeCell="R16" sqref="R16"/>
    </sheetView>
  </sheetViews>
  <sheetFormatPr defaultRowHeight="14.4" x14ac:dyDescent="0.3"/>
  <cols>
    <col min="1" max="2" width="5" customWidth="1"/>
    <col min="3" max="3" width="4.5546875" customWidth="1"/>
    <col min="4" max="4" width="5.21875" customWidth="1"/>
    <col min="5" max="5" width="5.5546875" customWidth="1"/>
    <col min="6" max="6" width="8.44140625" customWidth="1"/>
    <col min="7" max="7" width="4.5546875" customWidth="1"/>
    <col min="8" max="8" width="4.44140625" customWidth="1"/>
    <col min="9" max="9" width="3.44140625" customWidth="1"/>
    <col min="10" max="10" width="3.33203125" customWidth="1"/>
    <col min="11" max="11" width="5.109375" customWidth="1"/>
    <col min="12" max="12" width="5.6640625" customWidth="1"/>
    <col min="13" max="13" width="5.33203125" customWidth="1"/>
    <col min="14" max="14" width="7.21875" customWidth="1"/>
    <col min="15" max="15" width="6" customWidth="1"/>
    <col min="16" max="16" width="6.21875" customWidth="1"/>
    <col min="17" max="17" width="6.109375" customWidth="1"/>
    <col min="18" max="18" width="39.6640625" customWidth="1"/>
    <col min="19" max="37" width="0" hidden="1" customWidth="1"/>
    <col min="38" max="40" width="0" style="23" hidden="1" customWidth="1"/>
    <col min="41" max="41" width="10" style="23" bestFit="1" customWidth="1"/>
    <col min="42" max="43" width="0" style="23" hidden="1" customWidth="1"/>
    <col min="44" max="44" width="10" style="23" bestFit="1" customWidth="1"/>
    <col min="45" max="46" width="0" style="23" hidden="1" customWidth="1"/>
    <col min="47" max="47" width="10.33203125" style="23" customWidth="1"/>
    <col min="48" max="49" width="0" style="23" hidden="1" customWidth="1"/>
    <col min="50" max="50" width="8.88671875" style="23"/>
    <col min="51" max="52" width="0" style="23" hidden="1" customWidth="1"/>
    <col min="53" max="53" width="8.88671875" style="23"/>
    <col min="54" max="55" width="0" hidden="1" customWidth="1"/>
    <col min="56" max="56" width="10" bestFit="1" customWidth="1"/>
    <col min="57" max="58" width="0" hidden="1" customWidth="1"/>
    <col min="59" max="59" width="10" hidden="1" customWidth="1"/>
    <col min="60" max="60" width="0" hidden="1" customWidth="1"/>
    <col min="61" max="61" width="10" hidden="1" customWidth="1"/>
    <col min="62" max="62" width="0" hidden="1" customWidth="1"/>
    <col min="63" max="63" width="10" hidden="1" customWidth="1"/>
    <col min="64" max="70" width="0" hidden="1" customWidth="1"/>
  </cols>
  <sheetData>
    <row r="1" spans="1:70" x14ac:dyDescent="0.3"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70" x14ac:dyDescent="0.3"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70" x14ac:dyDescent="0.3">
      <c r="A3" s="1"/>
      <c r="B3" s="2"/>
      <c r="C3" s="2"/>
      <c r="D3" s="2"/>
      <c r="E3" s="3"/>
      <c r="F3" s="1"/>
      <c r="G3" s="2"/>
      <c r="H3" s="2"/>
      <c r="I3" s="2"/>
      <c r="J3" s="2"/>
      <c r="K3" s="2"/>
      <c r="L3" s="2"/>
      <c r="M3" s="2"/>
      <c r="N3" s="1"/>
      <c r="O3" s="1"/>
      <c r="P3" s="4"/>
      <c r="Q3" s="2"/>
      <c r="R3" s="2"/>
      <c r="S3" s="5">
        <f t="shared" ref="S3:BK3" si="0">SUBTOTAL(9,S5:S1048576)</f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  <c r="AH3" s="5">
        <f t="shared" si="0"/>
        <v>0</v>
      </c>
      <c r="AI3" s="5">
        <f t="shared" si="0"/>
        <v>0</v>
      </c>
      <c r="AJ3" s="5">
        <f t="shared" si="0"/>
        <v>0</v>
      </c>
      <c r="AK3" s="5">
        <f t="shared" si="0"/>
        <v>0</v>
      </c>
      <c r="AL3" s="5">
        <f t="shared" si="0"/>
        <v>0</v>
      </c>
      <c r="AM3" s="5">
        <f t="shared" si="0"/>
        <v>0</v>
      </c>
      <c r="AN3" s="5">
        <f t="shared" si="0"/>
        <v>0</v>
      </c>
      <c r="AO3" s="5">
        <f t="shared" si="0"/>
        <v>140415</v>
      </c>
      <c r="AP3" s="5">
        <f t="shared" si="0"/>
        <v>0</v>
      </c>
      <c r="AQ3" s="5">
        <f t="shared" si="0"/>
        <v>0</v>
      </c>
      <c r="AR3" s="5">
        <f t="shared" si="0"/>
        <v>175950</v>
      </c>
      <c r="AS3" s="5">
        <f t="shared" si="0"/>
        <v>0</v>
      </c>
      <c r="AT3" s="5">
        <f t="shared" si="0"/>
        <v>0</v>
      </c>
      <c r="AU3" s="5">
        <f t="shared" si="0"/>
        <v>208725</v>
      </c>
      <c r="AV3" s="5">
        <f t="shared" si="0"/>
        <v>0</v>
      </c>
      <c r="AW3" s="5">
        <f t="shared" si="0"/>
        <v>0</v>
      </c>
      <c r="AX3" s="5">
        <f t="shared" si="0"/>
        <v>175950</v>
      </c>
      <c r="AY3" s="5">
        <f t="shared" si="0"/>
        <v>0</v>
      </c>
      <c r="AZ3" s="5">
        <f t="shared" si="0"/>
        <v>0</v>
      </c>
      <c r="BA3" s="5">
        <f t="shared" si="0"/>
        <v>140760</v>
      </c>
      <c r="BB3" s="5">
        <f t="shared" si="0"/>
        <v>0</v>
      </c>
      <c r="BC3" s="5">
        <f t="shared" si="0"/>
        <v>0</v>
      </c>
      <c r="BD3" s="5">
        <f t="shared" si="0"/>
        <v>841800</v>
      </c>
      <c r="BE3" s="5">
        <f t="shared" si="0"/>
        <v>0</v>
      </c>
      <c r="BF3" s="5">
        <f t="shared" si="0"/>
        <v>0</v>
      </c>
      <c r="BG3" s="5">
        <f t="shared" si="0"/>
        <v>757800</v>
      </c>
      <c r="BH3" s="5">
        <f t="shared" si="0"/>
        <v>0</v>
      </c>
      <c r="BI3" s="5">
        <f t="shared" si="0"/>
        <v>110565</v>
      </c>
      <c r="BJ3" s="5">
        <f t="shared" si="0"/>
        <v>0</v>
      </c>
      <c r="BK3" s="5">
        <f t="shared" si="0"/>
        <v>110565</v>
      </c>
      <c r="BL3" s="1"/>
      <c r="BM3" s="1"/>
      <c r="BN3" s="1"/>
      <c r="BO3" s="1"/>
      <c r="BP3" s="1"/>
      <c r="BQ3" s="1"/>
      <c r="BR3" s="1"/>
    </row>
    <row r="4" spans="1:70" ht="69" x14ac:dyDescent="0.3">
      <c r="A4" s="6" t="s">
        <v>0</v>
      </c>
      <c r="B4" s="7" t="s">
        <v>1</v>
      </c>
      <c r="C4" s="8" t="s">
        <v>2</v>
      </c>
      <c r="D4" s="8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9" t="s">
        <v>10</v>
      </c>
      <c r="L4" s="9" t="s">
        <v>11</v>
      </c>
      <c r="M4" s="10" t="s">
        <v>12</v>
      </c>
      <c r="N4" s="6" t="s">
        <v>13</v>
      </c>
      <c r="O4" s="6" t="s">
        <v>14</v>
      </c>
      <c r="P4" s="10" t="s">
        <v>15</v>
      </c>
      <c r="Q4" s="6" t="s">
        <v>16</v>
      </c>
      <c r="R4" s="6" t="s">
        <v>17</v>
      </c>
      <c r="S4" s="9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10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11" t="s">
        <v>60</v>
      </c>
      <c r="BJ4" s="11" t="s">
        <v>61</v>
      </c>
      <c r="BK4" s="11" t="s">
        <v>62</v>
      </c>
      <c r="BL4" s="12" t="s">
        <v>63</v>
      </c>
      <c r="BM4" s="12" t="s">
        <v>64</v>
      </c>
      <c r="BN4" s="12" t="s">
        <v>65</v>
      </c>
      <c r="BO4" s="12" t="s">
        <v>66</v>
      </c>
      <c r="BP4" s="12" t="s">
        <v>67</v>
      </c>
      <c r="BQ4" s="12" t="s">
        <v>68</v>
      </c>
      <c r="BR4" s="12" t="s">
        <v>69</v>
      </c>
    </row>
    <row r="5" spans="1:70" x14ac:dyDescent="0.3">
      <c r="A5" s="15" t="s">
        <v>79</v>
      </c>
      <c r="B5" s="15" t="s">
        <v>79</v>
      </c>
      <c r="C5" s="13"/>
      <c r="D5" s="13"/>
      <c r="E5" s="20" t="s">
        <v>70</v>
      </c>
      <c r="F5" s="15" t="s">
        <v>80</v>
      </c>
      <c r="G5" s="15" t="s">
        <v>81</v>
      </c>
      <c r="H5" s="15" t="s">
        <v>81</v>
      </c>
      <c r="I5" s="15" t="s">
        <v>81</v>
      </c>
      <c r="J5" s="19" t="s">
        <v>78</v>
      </c>
      <c r="K5" s="14">
        <v>45962</v>
      </c>
      <c r="L5" s="14">
        <v>46112</v>
      </c>
      <c r="M5" s="15" t="s">
        <v>71</v>
      </c>
      <c r="N5" s="15" t="s">
        <v>82</v>
      </c>
      <c r="O5" s="15" t="s">
        <v>122</v>
      </c>
      <c r="P5" s="16" t="s">
        <v>123</v>
      </c>
      <c r="Q5" s="13" t="s">
        <v>124</v>
      </c>
      <c r="R5" s="15" t="s">
        <v>112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2"/>
      <c r="AM5" s="22"/>
      <c r="AN5" s="22"/>
      <c r="AO5" s="22">
        <v>4445</v>
      </c>
      <c r="AP5" s="22"/>
      <c r="AQ5" s="22"/>
      <c r="AR5" s="22">
        <v>22225</v>
      </c>
      <c r="AS5" s="22"/>
      <c r="AT5" s="22"/>
      <c r="AU5" s="22">
        <v>22225</v>
      </c>
      <c r="AV5" s="22"/>
      <c r="AW5" s="22"/>
      <c r="AX5" s="22">
        <v>22225</v>
      </c>
      <c r="AY5" s="22"/>
      <c r="AZ5" s="22"/>
      <c r="BA5" s="22">
        <v>17780</v>
      </c>
      <c r="BB5" s="17"/>
      <c r="BC5" s="17"/>
      <c r="BD5" s="21">
        <f t="shared" ref="BD5:BF5" si="1">SUM(T5,W5,Z5,AC5,AF5,AI5,AL5,AO5,AR5,AU5,AX5,BA5)</f>
        <v>88900</v>
      </c>
      <c r="BE5" s="21">
        <f t="shared" si="1"/>
        <v>0</v>
      </c>
      <c r="BF5" s="21">
        <f t="shared" si="1"/>
        <v>0</v>
      </c>
      <c r="BG5" s="21">
        <f t="shared" ref="BG5:BH5" si="2">BD5-BE5</f>
        <v>88900</v>
      </c>
      <c r="BH5" s="21">
        <f t="shared" si="2"/>
        <v>0</v>
      </c>
      <c r="BI5" s="21">
        <f>SUM(T5,W5,Z5,AC5,AF5,AI5,AL5,AO5)</f>
        <v>4445</v>
      </c>
      <c r="BJ5" s="21">
        <f>SUM(U5,X5,AA5,AD5,AG5,AJ5,AM5,AP5)</f>
        <v>0</v>
      </c>
      <c r="BK5" s="21">
        <f t="shared" ref="BK5" si="3">BI5-BJ5</f>
        <v>4445</v>
      </c>
      <c r="BL5" s="18"/>
      <c r="BM5" s="18"/>
      <c r="BN5" s="18"/>
      <c r="BO5" s="18"/>
      <c r="BP5" s="18"/>
      <c r="BQ5" s="18"/>
      <c r="BR5" s="18"/>
    </row>
    <row r="6" spans="1:70" x14ac:dyDescent="0.3">
      <c r="A6" s="15" t="s">
        <v>79</v>
      </c>
      <c r="B6" s="15" t="s">
        <v>79</v>
      </c>
      <c r="C6" s="13"/>
      <c r="D6" s="13"/>
      <c r="E6" s="20" t="s">
        <v>70</v>
      </c>
      <c r="F6" s="15" t="s">
        <v>80</v>
      </c>
      <c r="G6" s="15" t="s">
        <v>81</v>
      </c>
      <c r="H6" s="15" t="s">
        <v>81</v>
      </c>
      <c r="I6" s="15" t="s">
        <v>81</v>
      </c>
      <c r="J6" s="19" t="s">
        <v>78</v>
      </c>
      <c r="K6" s="14">
        <v>45962</v>
      </c>
      <c r="L6" s="14">
        <v>46112</v>
      </c>
      <c r="M6" s="15" t="s">
        <v>71</v>
      </c>
      <c r="N6" s="15" t="s">
        <v>82</v>
      </c>
      <c r="O6" s="15" t="s">
        <v>122</v>
      </c>
      <c r="P6" s="16" t="s">
        <v>123</v>
      </c>
      <c r="Q6" s="13" t="s">
        <v>124</v>
      </c>
      <c r="R6" s="15" t="s">
        <v>113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22"/>
      <c r="AM6" s="22"/>
      <c r="AN6" s="22"/>
      <c r="AO6" s="22">
        <v>4445</v>
      </c>
      <c r="AP6" s="22"/>
      <c r="AQ6" s="22"/>
      <c r="AR6" s="22">
        <v>22225</v>
      </c>
      <c r="AS6" s="22"/>
      <c r="AT6" s="22"/>
      <c r="AU6" s="22">
        <v>22225</v>
      </c>
      <c r="AV6" s="22"/>
      <c r="AW6" s="22"/>
      <c r="AX6" s="22">
        <v>22225</v>
      </c>
      <c r="AY6" s="22"/>
      <c r="AZ6" s="22"/>
      <c r="BA6" s="22">
        <v>17780</v>
      </c>
      <c r="BB6" s="17"/>
      <c r="BC6" s="17"/>
      <c r="BD6" s="21">
        <f t="shared" ref="BD6:BD8" si="4">SUM(T6,W6,Z6,AC6,AF6,AI6,AL6,AO6,AR6,AU6,AX6,BA6)</f>
        <v>88900</v>
      </c>
      <c r="BE6" s="21">
        <f t="shared" ref="BE6:BE8" si="5">SUM(U6,X6,AA6,AD6,AG6,AJ6,AM6,AP6,AS6,AV6,AY6,BB6)</f>
        <v>0</v>
      </c>
      <c r="BF6" s="21">
        <f t="shared" ref="BF6:BF8" si="6">SUM(V6,Y6,AB6,AE6,AH6,AK6,AN6,AQ6,AT6,AW6,AZ6,BC6)</f>
        <v>0</v>
      </c>
      <c r="BG6" s="21">
        <f t="shared" ref="BG6:BG8" si="7">BD6-BE6</f>
        <v>88900</v>
      </c>
      <c r="BH6" s="21">
        <f t="shared" ref="BH6:BH8" si="8">BE6-BF6</f>
        <v>0</v>
      </c>
      <c r="BI6" s="21">
        <f t="shared" ref="BI6:BI8" si="9">SUM(T6,W6,Z6,AC6,AF6,AI6,AL6,AO6)</f>
        <v>4445</v>
      </c>
      <c r="BJ6" s="21">
        <f t="shared" ref="BJ6:BJ8" si="10">SUM(U6,X6,AA6,AD6,AG6,AJ6,AM6,AP6)</f>
        <v>0</v>
      </c>
      <c r="BK6" s="21">
        <f t="shared" ref="BK6:BK8" si="11">BI6-BJ6</f>
        <v>4445</v>
      </c>
      <c r="BL6" s="18"/>
      <c r="BM6" s="18"/>
      <c r="BN6" s="18"/>
      <c r="BO6" s="18"/>
      <c r="BP6" s="18"/>
      <c r="BQ6" s="18"/>
      <c r="BR6" s="18"/>
    </row>
    <row r="7" spans="1:70" x14ac:dyDescent="0.3">
      <c r="A7" s="15" t="s">
        <v>79</v>
      </c>
      <c r="B7" s="15" t="s">
        <v>79</v>
      </c>
      <c r="C7" s="13"/>
      <c r="D7" s="13"/>
      <c r="E7" s="20" t="s">
        <v>70</v>
      </c>
      <c r="F7" s="15" t="s">
        <v>80</v>
      </c>
      <c r="G7" s="15" t="s">
        <v>81</v>
      </c>
      <c r="H7" s="15" t="s">
        <v>81</v>
      </c>
      <c r="I7" s="15" t="s">
        <v>81</v>
      </c>
      <c r="J7" s="19" t="s">
        <v>78</v>
      </c>
      <c r="K7" s="14">
        <v>45962</v>
      </c>
      <c r="L7" s="14">
        <v>46112</v>
      </c>
      <c r="M7" s="15" t="s">
        <v>71</v>
      </c>
      <c r="N7" s="15" t="s">
        <v>82</v>
      </c>
      <c r="O7" s="15" t="s">
        <v>125</v>
      </c>
      <c r="P7" s="16" t="s">
        <v>124</v>
      </c>
      <c r="Q7" s="13" t="s">
        <v>124</v>
      </c>
      <c r="R7" s="15" t="s">
        <v>90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22"/>
      <c r="AM7" s="22"/>
      <c r="AN7" s="22"/>
      <c r="AO7" s="22">
        <v>1905</v>
      </c>
      <c r="AP7" s="22"/>
      <c r="AQ7" s="22"/>
      <c r="AR7" s="22">
        <v>9525</v>
      </c>
      <c r="AS7" s="22"/>
      <c r="AT7" s="22"/>
      <c r="AU7" s="22">
        <v>9525</v>
      </c>
      <c r="AV7" s="22"/>
      <c r="AW7" s="22"/>
      <c r="AX7" s="22">
        <v>9525</v>
      </c>
      <c r="AY7" s="22"/>
      <c r="AZ7" s="22"/>
      <c r="BA7" s="22">
        <v>7620</v>
      </c>
      <c r="BB7" s="17"/>
      <c r="BC7" s="17"/>
      <c r="BD7" s="21">
        <f t="shared" si="4"/>
        <v>38100</v>
      </c>
      <c r="BE7" s="21">
        <f t="shared" si="5"/>
        <v>0</v>
      </c>
      <c r="BF7" s="21">
        <f t="shared" si="6"/>
        <v>0</v>
      </c>
      <c r="BG7" s="21">
        <f t="shared" si="7"/>
        <v>38100</v>
      </c>
      <c r="BH7" s="21">
        <f t="shared" si="8"/>
        <v>0</v>
      </c>
      <c r="BI7" s="21">
        <f t="shared" si="9"/>
        <v>1905</v>
      </c>
      <c r="BJ7" s="21">
        <f t="shared" si="10"/>
        <v>0</v>
      </c>
      <c r="BK7" s="21">
        <f t="shared" si="11"/>
        <v>1905</v>
      </c>
      <c r="BL7" s="18"/>
      <c r="BM7" s="18"/>
      <c r="BN7" s="18"/>
      <c r="BO7" s="18"/>
      <c r="BP7" s="18"/>
      <c r="BQ7" s="18"/>
      <c r="BR7" s="18"/>
    </row>
    <row r="8" spans="1:70" x14ac:dyDescent="0.3">
      <c r="A8" s="15" t="s">
        <v>79</v>
      </c>
      <c r="B8" s="15" t="s">
        <v>79</v>
      </c>
      <c r="C8" s="13"/>
      <c r="D8" s="13"/>
      <c r="E8" s="20" t="s">
        <v>70</v>
      </c>
      <c r="F8" s="15" t="s">
        <v>80</v>
      </c>
      <c r="G8" s="15" t="s">
        <v>81</v>
      </c>
      <c r="H8" s="15" t="s">
        <v>81</v>
      </c>
      <c r="I8" s="15" t="s">
        <v>81</v>
      </c>
      <c r="J8" s="19" t="s">
        <v>78</v>
      </c>
      <c r="K8" s="14">
        <v>45962</v>
      </c>
      <c r="L8" s="14">
        <v>46112</v>
      </c>
      <c r="M8" s="15" t="s">
        <v>71</v>
      </c>
      <c r="N8" s="15" t="s">
        <v>82</v>
      </c>
      <c r="O8" s="15" t="s">
        <v>76</v>
      </c>
      <c r="P8" s="16" t="s">
        <v>124</v>
      </c>
      <c r="Q8" s="13" t="s">
        <v>124</v>
      </c>
      <c r="R8" s="15" t="s">
        <v>76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22"/>
      <c r="AM8" s="22"/>
      <c r="AN8" s="22"/>
      <c r="AO8" s="22">
        <v>1905</v>
      </c>
      <c r="AP8" s="22"/>
      <c r="AQ8" s="22"/>
      <c r="AR8" s="22">
        <v>9525</v>
      </c>
      <c r="AS8" s="22"/>
      <c r="AT8" s="22"/>
      <c r="AU8" s="22">
        <v>9525</v>
      </c>
      <c r="AV8" s="22"/>
      <c r="AW8" s="22"/>
      <c r="AX8" s="22">
        <v>9525</v>
      </c>
      <c r="AY8" s="22"/>
      <c r="AZ8" s="22"/>
      <c r="BA8" s="22">
        <v>7620</v>
      </c>
      <c r="BB8" s="17"/>
      <c r="BC8" s="17"/>
      <c r="BD8" s="21">
        <f t="shared" si="4"/>
        <v>38100</v>
      </c>
      <c r="BE8" s="21">
        <f t="shared" si="5"/>
        <v>0</v>
      </c>
      <c r="BF8" s="21">
        <f t="shared" si="6"/>
        <v>0</v>
      </c>
      <c r="BG8" s="21">
        <f t="shared" si="7"/>
        <v>38100</v>
      </c>
      <c r="BH8" s="21">
        <f t="shared" si="8"/>
        <v>0</v>
      </c>
      <c r="BI8" s="21">
        <f t="shared" si="9"/>
        <v>1905</v>
      </c>
      <c r="BJ8" s="21">
        <f t="shared" si="10"/>
        <v>0</v>
      </c>
      <c r="BK8" s="21">
        <f t="shared" si="11"/>
        <v>1905</v>
      </c>
      <c r="BL8" s="18"/>
      <c r="BM8" s="18"/>
      <c r="BN8" s="18"/>
      <c r="BO8" s="18"/>
      <c r="BP8" s="18"/>
      <c r="BQ8" s="18"/>
      <c r="BR8" s="18"/>
    </row>
    <row r="9" spans="1:70" x14ac:dyDescent="0.3">
      <c r="A9" s="15" t="s">
        <v>79</v>
      </c>
      <c r="B9" s="15" t="s">
        <v>79</v>
      </c>
      <c r="C9" s="13"/>
      <c r="D9" s="13"/>
      <c r="E9" s="20" t="s">
        <v>70</v>
      </c>
      <c r="F9" s="15" t="s">
        <v>80</v>
      </c>
      <c r="G9" s="15" t="s">
        <v>81</v>
      </c>
      <c r="H9" s="15" t="s">
        <v>81</v>
      </c>
      <c r="I9" s="15" t="s">
        <v>81</v>
      </c>
      <c r="J9" s="19" t="s">
        <v>78</v>
      </c>
      <c r="K9" s="14">
        <v>45962</v>
      </c>
      <c r="L9" s="14">
        <v>46112</v>
      </c>
      <c r="M9" s="15" t="s">
        <v>72</v>
      </c>
      <c r="N9" s="15" t="s">
        <v>103</v>
      </c>
      <c r="O9" s="15" t="s">
        <v>77</v>
      </c>
      <c r="P9" s="16" t="s">
        <v>126</v>
      </c>
      <c r="Q9" s="13" t="s">
        <v>126</v>
      </c>
      <c r="R9" s="15" t="s">
        <v>77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22"/>
      <c r="AM9" s="22"/>
      <c r="AN9" s="22"/>
      <c r="AO9" s="22">
        <v>2000</v>
      </c>
      <c r="AP9" s="22"/>
      <c r="AQ9" s="22"/>
      <c r="AR9" s="22">
        <f>2000*5</f>
        <v>10000</v>
      </c>
      <c r="AS9" s="22"/>
      <c r="AT9" s="22"/>
      <c r="AU9" s="22">
        <f>2000*5</f>
        <v>10000</v>
      </c>
      <c r="AV9" s="22"/>
      <c r="AW9" s="22"/>
      <c r="AX9" s="22">
        <f>2000*5</f>
        <v>10000</v>
      </c>
      <c r="AY9" s="22"/>
      <c r="AZ9" s="22"/>
      <c r="BA9" s="22">
        <f>2000*4</f>
        <v>8000</v>
      </c>
      <c r="BB9" s="17"/>
      <c r="BC9" s="17"/>
      <c r="BD9" s="21">
        <f t="shared" ref="BD9:BD21" si="12">SUM(T9,W9,Z9,AC9,AF9,AI9,AL9,AO9,AR9,AU9,AX9,BA9)</f>
        <v>40000</v>
      </c>
      <c r="BE9" s="21">
        <f t="shared" ref="BE9:BE21" si="13">SUM(U9,X9,AA9,AD9,AG9,AJ9,AM9,AP9,AS9,AV9,AY9,BB9)</f>
        <v>0</v>
      </c>
      <c r="BF9" s="21">
        <f t="shared" ref="BF9:BF21" si="14">SUM(V9,Y9,AB9,AE9,AH9,AK9,AN9,AQ9,AT9,AW9,AZ9,BC9)</f>
        <v>0</v>
      </c>
      <c r="BG9" s="21">
        <f t="shared" ref="BG9:BG21" si="15">BD9-BE9</f>
        <v>40000</v>
      </c>
      <c r="BH9" s="21">
        <f t="shared" ref="BH9:BH21" si="16">BE9-BF9</f>
        <v>0</v>
      </c>
      <c r="BI9" s="21">
        <f t="shared" ref="BI9:BI21" si="17">SUM(T9,W9,Z9,AC9,AF9,AI9,AL9,AO9)</f>
        <v>2000</v>
      </c>
      <c r="BJ9" s="21">
        <f t="shared" ref="BJ9:BJ21" si="18">SUM(U9,X9,AA9,AD9,AG9,AJ9,AM9,AP9)</f>
        <v>0</v>
      </c>
      <c r="BK9" s="21">
        <f t="shared" ref="BK9:BK21" si="19">BI9-BJ9</f>
        <v>2000</v>
      </c>
      <c r="BL9" s="18"/>
      <c r="BM9" s="18"/>
      <c r="BN9" s="18"/>
      <c r="BO9" s="18"/>
      <c r="BP9" s="18"/>
      <c r="BQ9" s="18"/>
      <c r="BR9" s="18"/>
    </row>
    <row r="10" spans="1:70" ht="57.6" x14ac:dyDescent="0.3">
      <c r="A10" s="15" t="s">
        <v>79</v>
      </c>
      <c r="B10" s="15" t="s">
        <v>79</v>
      </c>
      <c r="C10" s="13"/>
      <c r="D10" s="13"/>
      <c r="E10" s="20" t="s">
        <v>70</v>
      </c>
      <c r="F10" s="15" t="s">
        <v>80</v>
      </c>
      <c r="G10" s="15" t="s">
        <v>81</v>
      </c>
      <c r="H10" s="15" t="s">
        <v>81</v>
      </c>
      <c r="I10" s="15" t="s">
        <v>81</v>
      </c>
      <c r="J10" s="19" t="s">
        <v>78</v>
      </c>
      <c r="K10" s="14">
        <v>45962</v>
      </c>
      <c r="L10" s="14">
        <v>46112</v>
      </c>
      <c r="M10" s="15" t="s">
        <v>72</v>
      </c>
      <c r="N10" s="13" t="s">
        <v>104</v>
      </c>
      <c r="O10" s="15" t="s">
        <v>127</v>
      </c>
      <c r="P10" s="16" t="s">
        <v>128</v>
      </c>
      <c r="Q10" s="13" t="s">
        <v>128</v>
      </c>
      <c r="R10" s="31" t="s">
        <v>105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22"/>
      <c r="AM10" s="22"/>
      <c r="AN10" s="22"/>
      <c r="AO10" s="22">
        <v>60000</v>
      </c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17"/>
      <c r="BC10" s="17"/>
      <c r="BD10" s="21">
        <f t="shared" si="12"/>
        <v>60000</v>
      </c>
      <c r="BE10" s="21">
        <f t="shared" si="13"/>
        <v>0</v>
      </c>
      <c r="BF10" s="21">
        <f t="shared" si="14"/>
        <v>0</v>
      </c>
      <c r="BG10" s="21">
        <f t="shared" si="15"/>
        <v>60000</v>
      </c>
      <c r="BH10" s="21">
        <f t="shared" si="16"/>
        <v>0</v>
      </c>
      <c r="BI10" s="21">
        <f t="shared" si="17"/>
        <v>60000</v>
      </c>
      <c r="BJ10" s="21">
        <f t="shared" si="18"/>
        <v>0</v>
      </c>
      <c r="BK10" s="21">
        <f t="shared" si="19"/>
        <v>60000</v>
      </c>
      <c r="BL10" s="18"/>
      <c r="BM10" s="18"/>
      <c r="BN10" s="18"/>
      <c r="BO10" s="18"/>
      <c r="BP10" s="18"/>
      <c r="BQ10" s="18"/>
      <c r="BR10" s="18"/>
    </row>
    <row r="11" spans="1:70" x14ac:dyDescent="0.3">
      <c r="A11" s="15" t="s">
        <v>79</v>
      </c>
      <c r="B11" s="15" t="s">
        <v>79</v>
      </c>
      <c r="C11" s="13"/>
      <c r="D11" s="13"/>
      <c r="E11" s="20" t="s">
        <v>70</v>
      </c>
      <c r="F11" s="15" t="s">
        <v>80</v>
      </c>
      <c r="G11" s="15" t="s">
        <v>81</v>
      </c>
      <c r="H11" s="15" t="s">
        <v>81</v>
      </c>
      <c r="I11" s="15" t="s">
        <v>81</v>
      </c>
      <c r="J11" s="19" t="s">
        <v>78</v>
      </c>
      <c r="K11" s="14">
        <v>45962</v>
      </c>
      <c r="L11" s="14">
        <v>46112</v>
      </c>
      <c r="M11" s="15" t="s">
        <v>72</v>
      </c>
      <c r="N11" s="13" t="s">
        <v>106</v>
      </c>
      <c r="O11" s="15" t="s">
        <v>129</v>
      </c>
      <c r="P11" s="16" t="s">
        <v>130</v>
      </c>
      <c r="Q11" s="13" t="s">
        <v>130</v>
      </c>
      <c r="R11" s="13" t="s">
        <v>106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22"/>
      <c r="AM11" s="22"/>
      <c r="AN11" s="22"/>
      <c r="AO11" s="22">
        <v>1500</v>
      </c>
      <c r="AP11" s="22"/>
      <c r="AQ11" s="22"/>
      <c r="AR11" s="22">
        <v>7500</v>
      </c>
      <c r="AS11" s="22"/>
      <c r="AT11" s="22"/>
      <c r="AU11" s="22">
        <v>7500</v>
      </c>
      <c r="AV11" s="22"/>
      <c r="AW11" s="22"/>
      <c r="AX11" s="22">
        <v>7500</v>
      </c>
      <c r="AY11" s="22"/>
      <c r="AZ11" s="22"/>
      <c r="BA11" s="22">
        <v>6000</v>
      </c>
      <c r="BB11" s="17"/>
      <c r="BC11" s="17"/>
      <c r="BD11" s="21">
        <f t="shared" si="12"/>
        <v>30000</v>
      </c>
      <c r="BE11" s="21">
        <f t="shared" si="13"/>
        <v>0</v>
      </c>
      <c r="BF11" s="21">
        <f t="shared" si="14"/>
        <v>0</v>
      </c>
      <c r="BG11" s="21">
        <f t="shared" si="15"/>
        <v>30000</v>
      </c>
      <c r="BH11" s="21">
        <f t="shared" si="16"/>
        <v>0</v>
      </c>
      <c r="BI11" s="21">
        <f t="shared" si="17"/>
        <v>1500</v>
      </c>
      <c r="BJ11" s="21">
        <f t="shared" si="18"/>
        <v>0</v>
      </c>
      <c r="BK11" s="21">
        <f t="shared" si="19"/>
        <v>1500</v>
      </c>
      <c r="BL11" s="18"/>
      <c r="BM11" s="18"/>
      <c r="BN11" s="18"/>
      <c r="BO11" s="18"/>
      <c r="BP11" s="18"/>
      <c r="BQ11" s="18"/>
      <c r="BR11" s="18"/>
    </row>
    <row r="12" spans="1:70" x14ac:dyDescent="0.3">
      <c r="A12" s="15" t="s">
        <v>79</v>
      </c>
      <c r="B12" s="15" t="s">
        <v>79</v>
      </c>
      <c r="C12" s="13"/>
      <c r="D12" s="13"/>
      <c r="E12" s="20" t="s">
        <v>70</v>
      </c>
      <c r="F12" s="15" t="s">
        <v>80</v>
      </c>
      <c r="G12" s="15" t="s">
        <v>81</v>
      </c>
      <c r="H12" s="15" t="s">
        <v>81</v>
      </c>
      <c r="I12" s="15" t="s">
        <v>81</v>
      </c>
      <c r="J12" s="19" t="s">
        <v>78</v>
      </c>
      <c r="K12" s="14">
        <v>45962</v>
      </c>
      <c r="L12" s="14">
        <v>46112</v>
      </c>
      <c r="M12" s="15" t="s">
        <v>71</v>
      </c>
      <c r="N12" s="15" t="s">
        <v>107</v>
      </c>
      <c r="O12" s="15" t="s">
        <v>131</v>
      </c>
      <c r="P12" s="16" t="s">
        <v>124</v>
      </c>
      <c r="Q12" s="13" t="s">
        <v>124</v>
      </c>
      <c r="R12" s="15" t="s">
        <v>108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22"/>
      <c r="AM12" s="22"/>
      <c r="AN12" s="22"/>
      <c r="AO12" s="22">
        <v>3000</v>
      </c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17"/>
      <c r="BC12" s="17"/>
      <c r="BD12" s="21">
        <f t="shared" si="12"/>
        <v>3000</v>
      </c>
      <c r="BE12" s="21">
        <f t="shared" si="13"/>
        <v>0</v>
      </c>
      <c r="BF12" s="21">
        <f t="shared" si="14"/>
        <v>0</v>
      </c>
      <c r="BG12" s="21">
        <f t="shared" si="15"/>
        <v>3000</v>
      </c>
      <c r="BH12" s="21">
        <f t="shared" si="16"/>
        <v>0</v>
      </c>
      <c r="BI12" s="21">
        <f t="shared" si="17"/>
        <v>3000</v>
      </c>
      <c r="BJ12" s="21">
        <f t="shared" si="18"/>
        <v>0</v>
      </c>
      <c r="BK12" s="21">
        <f t="shared" si="19"/>
        <v>3000</v>
      </c>
      <c r="BL12" s="18"/>
      <c r="BM12" s="18"/>
      <c r="BN12" s="18"/>
      <c r="BO12" s="18"/>
      <c r="BP12" s="18"/>
      <c r="BQ12" s="18"/>
      <c r="BR12" s="18"/>
    </row>
    <row r="13" spans="1:70" x14ac:dyDescent="0.3">
      <c r="A13" s="15" t="s">
        <v>79</v>
      </c>
      <c r="B13" s="15" t="s">
        <v>79</v>
      </c>
      <c r="C13" s="13"/>
      <c r="D13" s="13"/>
      <c r="E13" s="20" t="s">
        <v>70</v>
      </c>
      <c r="F13" s="15" t="s">
        <v>80</v>
      </c>
      <c r="G13" s="15" t="s">
        <v>81</v>
      </c>
      <c r="H13" s="15" t="s">
        <v>81</v>
      </c>
      <c r="I13" s="15" t="s">
        <v>81</v>
      </c>
      <c r="J13" s="19" t="s">
        <v>78</v>
      </c>
      <c r="K13" s="14">
        <v>45962</v>
      </c>
      <c r="L13" s="14">
        <v>46112</v>
      </c>
      <c r="M13" s="15" t="s">
        <v>72</v>
      </c>
      <c r="N13" s="15" t="s">
        <v>107</v>
      </c>
      <c r="O13" s="15" t="s">
        <v>129</v>
      </c>
      <c r="P13" s="16" t="s">
        <v>130</v>
      </c>
      <c r="Q13" s="13" t="s">
        <v>130</v>
      </c>
      <c r="R13" s="15" t="s">
        <v>109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22"/>
      <c r="AM13" s="22"/>
      <c r="AN13" s="22"/>
      <c r="AO13" s="22">
        <f>95*300</f>
        <v>28500</v>
      </c>
      <c r="AP13" s="22"/>
      <c r="AQ13" s="22"/>
      <c r="AR13" s="22"/>
      <c r="AS13" s="22"/>
      <c r="AT13" s="22"/>
      <c r="AU13" s="22">
        <f>95*300</f>
        <v>28500</v>
      </c>
      <c r="AV13" s="22"/>
      <c r="AW13" s="22"/>
      <c r="AX13" s="22"/>
      <c r="AY13" s="22"/>
      <c r="AZ13" s="22"/>
      <c r="BA13" s="22"/>
      <c r="BB13" s="17"/>
      <c r="BC13" s="17"/>
      <c r="BD13" s="21">
        <f t="shared" si="12"/>
        <v>57000</v>
      </c>
      <c r="BE13" s="21"/>
      <c r="BF13" s="21"/>
      <c r="BG13" s="21"/>
      <c r="BH13" s="21"/>
      <c r="BI13" s="21"/>
      <c r="BJ13" s="21"/>
      <c r="BK13" s="21"/>
      <c r="BL13" s="18"/>
      <c r="BM13" s="18"/>
      <c r="BN13" s="18"/>
      <c r="BO13" s="18"/>
      <c r="BP13" s="18"/>
      <c r="BQ13" s="18"/>
      <c r="BR13" s="18"/>
    </row>
    <row r="14" spans="1:70" x14ac:dyDescent="0.3">
      <c r="A14" s="15" t="s">
        <v>79</v>
      </c>
      <c r="B14" s="15" t="s">
        <v>79</v>
      </c>
      <c r="C14" s="13"/>
      <c r="D14" s="13"/>
      <c r="E14" s="20" t="s">
        <v>70</v>
      </c>
      <c r="F14" s="15" t="s">
        <v>80</v>
      </c>
      <c r="G14" s="15" t="s">
        <v>81</v>
      </c>
      <c r="H14" s="15" t="s">
        <v>81</v>
      </c>
      <c r="I14" s="15" t="s">
        <v>81</v>
      </c>
      <c r="J14" s="19" t="s">
        <v>78</v>
      </c>
      <c r="K14" s="14">
        <v>45962</v>
      </c>
      <c r="L14" s="14">
        <v>46112</v>
      </c>
      <c r="M14" s="15" t="s">
        <v>71</v>
      </c>
      <c r="N14" s="15" t="s">
        <v>110</v>
      </c>
      <c r="O14" s="15" t="s">
        <v>132</v>
      </c>
      <c r="P14" s="16" t="s">
        <v>128</v>
      </c>
      <c r="Q14" s="13" t="s">
        <v>124</v>
      </c>
      <c r="R14" s="30" t="s">
        <v>111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22"/>
      <c r="AM14" s="22"/>
      <c r="AN14" s="22"/>
      <c r="AO14" s="22">
        <v>3150</v>
      </c>
      <c r="AP14" s="22"/>
      <c r="AQ14" s="22"/>
      <c r="AR14" s="22">
        <v>15749.999999999998</v>
      </c>
      <c r="AS14" s="22"/>
      <c r="AT14" s="22"/>
      <c r="AU14" s="22">
        <v>15749.999999999998</v>
      </c>
      <c r="AV14" s="22"/>
      <c r="AW14" s="22"/>
      <c r="AX14" s="22">
        <v>15749.999999999998</v>
      </c>
      <c r="AY14" s="22"/>
      <c r="AZ14" s="22"/>
      <c r="BA14" s="22">
        <v>12600</v>
      </c>
      <c r="BB14" s="17"/>
      <c r="BC14" s="17"/>
      <c r="BD14" s="21">
        <f t="shared" ref="BD14:BD15" si="20">SUM(T14,W14,Z14,AC14,AF14,AI14,AL14,AO14,AR14,AU14,AX14,BA14)</f>
        <v>63000</v>
      </c>
      <c r="BE14" s="21">
        <f t="shared" ref="BE14" si="21">SUM(U14,X14,AA14,AD14,AG14,AJ14,AM14,AP14,AS14,AV14,AY14,BB14)</f>
        <v>0</v>
      </c>
      <c r="BF14" s="21">
        <f t="shared" ref="BF14" si="22">SUM(V14,Y14,AB14,AE14,AH14,AK14,AN14,AQ14,AT14,AW14,AZ14,BC14)</f>
        <v>0</v>
      </c>
      <c r="BG14" s="21">
        <f t="shared" ref="BG14" si="23">BD14-BE14</f>
        <v>63000</v>
      </c>
      <c r="BH14" s="21">
        <f t="shared" ref="BH14" si="24">BE14-BF14</f>
        <v>0</v>
      </c>
      <c r="BI14" s="21">
        <f t="shared" ref="BI14" si="25">SUM(T14,W14,Z14,AC14,AF14,AI14,AL14,AO14)</f>
        <v>3150</v>
      </c>
      <c r="BJ14" s="21">
        <f t="shared" ref="BJ14" si="26">SUM(U14,X14,AA14,AD14,AG14,AJ14,AM14,AP14)</f>
        <v>0</v>
      </c>
      <c r="BK14" s="21">
        <f t="shared" ref="BK14" si="27">BI14-BJ14</f>
        <v>3150</v>
      </c>
      <c r="BL14" s="18"/>
      <c r="BM14" s="18"/>
      <c r="BN14" s="18"/>
      <c r="BO14" s="18"/>
      <c r="BP14" s="18"/>
      <c r="BQ14" s="18"/>
      <c r="BR14" s="18"/>
    </row>
    <row r="15" spans="1:70" x14ac:dyDescent="0.3">
      <c r="A15" s="15" t="s">
        <v>79</v>
      </c>
      <c r="B15" s="15" t="s">
        <v>79</v>
      </c>
      <c r="C15" s="13"/>
      <c r="D15" s="13"/>
      <c r="E15" s="20" t="s">
        <v>70</v>
      </c>
      <c r="F15" s="15" t="s">
        <v>80</v>
      </c>
      <c r="G15" s="15" t="s">
        <v>81</v>
      </c>
      <c r="H15" s="15" t="s">
        <v>81</v>
      </c>
      <c r="I15" s="15" t="s">
        <v>81</v>
      </c>
      <c r="J15" s="19" t="s">
        <v>78</v>
      </c>
      <c r="K15" s="14">
        <v>45962</v>
      </c>
      <c r="L15" s="14">
        <v>46112</v>
      </c>
      <c r="M15" s="15" t="s">
        <v>72</v>
      </c>
      <c r="N15" s="15" t="s">
        <v>110</v>
      </c>
      <c r="O15" s="15" t="s">
        <v>133</v>
      </c>
      <c r="P15" s="15" t="s">
        <v>130</v>
      </c>
      <c r="Q15" s="13" t="s">
        <v>130</v>
      </c>
      <c r="R15" s="30" t="s">
        <v>114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22"/>
      <c r="AM15" s="22"/>
      <c r="AN15" s="22"/>
      <c r="AO15" s="22">
        <v>1350</v>
      </c>
      <c r="AP15" s="22"/>
      <c r="AQ15" s="22"/>
      <c r="AR15" s="22">
        <v>6750</v>
      </c>
      <c r="AS15" s="22"/>
      <c r="AT15" s="22"/>
      <c r="AU15" s="22">
        <v>6750</v>
      </c>
      <c r="AV15" s="22"/>
      <c r="AW15" s="22"/>
      <c r="AX15" s="22">
        <v>6750</v>
      </c>
      <c r="AY15" s="22"/>
      <c r="AZ15" s="22"/>
      <c r="BA15" s="22">
        <v>5400</v>
      </c>
      <c r="BB15" s="17"/>
      <c r="BC15" s="17"/>
      <c r="BD15" s="21">
        <f t="shared" si="20"/>
        <v>27000</v>
      </c>
      <c r="BE15" s="21"/>
      <c r="BF15" s="21"/>
      <c r="BG15" s="21"/>
      <c r="BH15" s="21"/>
      <c r="BI15" s="21"/>
      <c r="BJ15" s="21"/>
      <c r="BK15" s="21"/>
      <c r="BL15" s="18"/>
      <c r="BM15" s="18"/>
      <c r="BN15" s="18"/>
      <c r="BO15" s="18"/>
      <c r="BP15" s="18"/>
      <c r="BQ15" s="18"/>
      <c r="BR15" s="18"/>
    </row>
    <row r="16" spans="1:70" x14ac:dyDescent="0.3">
      <c r="A16" s="15" t="s">
        <v>79</v>
      </c>
      <c r="B16" s="15" t="s">
        <v>79</v>
      </c>
      <c r="C16" s="13"/>
      <c r="D16" s="13"/>
      <c r="E16" s="20" t="s">
        <v>70</v>
      </c>
      <c r="F16" s="15" t="s">
        <v>80</v>
      </c>
      <c r="G16" s="15" t="s">
        <v>81</v>
      </c>
      <c r="H16" s="15" t="s">
        <v>81</v>
      </c>
      <c r="I16" s="15" t="s">
        <v>81</v>
      </c>
      <c r="J16" s="19" t="s">
        <v>78</v>
      </c>
      <c r="K16" s="14">
        <v>45962</v>
      </c>
      <c r="L16" s="14">
        <v>46112</v>
      </c>
      <c r="M16" s="15" t="s">
        <v>72</v>
      </c>
      <c r="N16" s="15" t="s">
        <v>117</v>
      </c>
      <c r="O16" s="15" t="s">
        <v>133</v>
      </c>
      <c r="P16" s="15" t="s">
        <v>130</v>
      </c>
      <c r="Q16" s="13" t="s">
        <v>130</v>
      </c>
      <c r="R16" s="15" t="s">
        <v>117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22"/>
      <c r="AM16" s="22"/>
      <c r="AN16" s="22"/>
      <c r="AO16" s="22">
        <v>3000</v>
      </c>
      <c r="AP16" s="22"/>
      <c r="AQ16" s="22"/>
      <c r="AR16" s="22">
        <f>3000*5</f>
        <v>15000</v>
      </c>
      <c r="AS16" s="22"/>
      <c r="AT16" s="22"/>
      <c r="AU16" s="22">
        <f>3000*5</f>
        <v>15000</v>
      </c>
      <c r="AV16" s="22"/>
      <c r="AW16" s="22"/>
      <c r="AX16" s="22">
        <f>3000*5</f>
        <v>15000</v>
      </c>
      <c r="AY16" s="22"/>
      <c r="AZ16" s="22"/>
      <c r="BA16" s="22">
        <f>3000*4</f>
        <v>12000</v>
      </c>
      <c r="BB16" s="17"/>
      <c r="BC16" s="17"/>
      <c r="BD16" s="21">
        <f t="shared" si="12"/>
        <v>60000</v>
      </c>
      <c r="BE16" s="21">
        <f t="shared" si="13"/>
        <v>0</v>
      </c>
      <c r="BF16" s="21">
        <f t="shared" si="14"/>
        <v>0</v>
      </c>
      <c r="BG16" s="21">
        <f t="shared" si="15"/>
        <v>60000</v>
      </c>
      <c r="BH16" s="21">
        <f t="shared" si="16"/>
        <v>0</v>
      </c>
      <c r="BI16" s="21">
        <f t="shared" si="17"/>
        <v>3000</v>
      </c>
      <c r="BJ16" s="21">
        <f t="shared" si="18"/>
        <v>0</v>
      </c>
      <c r="BK16" s="21">
        <f t="shared" si="19"/>
        <v>3000</v>
      </c>
      <c r="BL16" s="18"/>
      <c r="BM16" s="18"/>
      <c r="BN16" s="18"/>
      <c r="BO16" s="18"/>
      <c r="BP16" s="18"/>
      <c r="BQ16" s="18"/>
      <c r="BR16" s="18"/>
    </row>
    <row r="17" spans="1:70" x14ac:dyDescent="0.3">
      <c r="A17" s="15" t="s">
        <v>79</v>
      </c>
      <c r="B17" s="15" t="s">
        <v>79</v>
      </c>
      <c r="C17" s="13"/>
      <c r="D17" s="13"/>
      <c r="E17" s="20" t="s">
        <v>70</v>
      </c>
      <c r="F17" s="15" t="s">
        <v>80</v>
      </c>
      <c r="G17" s="15" t="s">
        <v>81</v>
      </c>
      <c r="H17" s="15" t="s">
        <v>81</v>
      </c>
      <c r="I17" s="15" t="s">
        <v>81</v>
      </c>
      <c r="J17" s="19" t="s">
        <v>78</v>
      </c>
      <c r="K17" s="14">
        <v>45962</v>
      </c>
      <c r="L17" s="14">
        <v>46112</v>
      </c>
      <c r="M17" s="15" t="s">
        <v>71</v>
      </c>
      <c r="N17" s="15" t="s">
        <v>118</v>
      </c>
      <c r="O17" s="15" t="s">
        <v>134</v>
      </c>
      <c r="P17" s="16" t="s">
        <v>128</v>
      </c>
      <c r="Q17" s="13" t="s">
        <v>124</v>
      </c>
      <c r="R17" s="15" t="s">
        <v>118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2"/>
      <c r="AM17" s="22"/>
      <c r="AN17" s="22"/>
      <c r="AO17" s="22">
        <v>2250</v>
      </c>
      <c r="AP17" s="22"/>
      <c r="AQ17" s="22"/>
      <c r="AR17" s="22">
        <f>2250*5</f>
        <v>11250</v>
      </c>
      <c r="AS17" s="22"/>
      <c r="AT17" s="22"/>
      <c r="AU17" s="22">
        <f>2250*5</f>
        <v>11250</v>
      </c>
      <c r="AV17" s="22"/>
      <c r="AW17" s="22"/>
      <c r="AX17" s="22">
        <f>2250*5</f>
        <v>11250</v>
      </c>
      <c r="AY17" s="22"/>
      <c r="AZ17" s="22"/>
      <c r="BA17" s="22">
        <f>2250*4</f>
        <v>9000</v>
      </c>
      <c r="BB17" s="17"/>
      <c r="BC17" s="17"/>
      <c r="BD17" s="21">
        <f t="shared" si="12"/>
        <v>45000</v>
      </c>
      <c r="BE17" s="21">
        <f t="shared" si="13"/>
        <v>0</v>
      </c>
      <c r="BF17" s="21">
        <f t="shared" si="14"/>
        <v>0</v>
      </c>
      <c r="BG17" s="21">
        <f t="shared" si="15"/>
        <v>45000</v>
      </c>
      <c r="BH17" s="21">
        <f t="shared" si="16"/>
        <v>0</v>
      </c>
      <c r="BI17" s="21">
        <f t="shared" si="17"/>
        <v>2250</v>
      </c>
      <c r="BJ17" s="21">
        <f t="shared" si="18"/>
        <v>0</v>
      </c>
      <c r="BK17" s="21">
        <f t="shared" si="19"/>
        <v>2250</v>
      </c>
      <c r="BL17" s="18"/>
      <c r="BM17" s="18"/>
      <c r="BN17" s="18"/>
      <c r="BO17" s="18"/>
      <c r="BP17" s="18"/>
      <c r="BQ17" s="18"/>
      <c r="BR17" s="18"/>
    </row>
    <row r="18" spans="1:70" x14ac:dyDescent="0.3">
      <c r="A18" s="15" t="s">
        <v>79</v>
      </c>
      <c r="B18" s="15" t="s">
        <v>79</v>
      </c>
      <c r="C18" s="13"/>
      <c r="D18" s="13"/>
      <c r="E18" s="20" t="s">
        <v>70</v>
      </c>
      <c r="F18" s="15" t="s">
        <v>80</v>
      </c>
      <c r="G18" s="15" t="s">
        <v>81</v>
      </c>
      <c r="H18" s="15" t="s">
        <v>81</v>
      </c>
      <c r="I18" s="15" t="s">
        <v>81</v>
      </c>
      <c r="J18" s="19" t="s">
        <v>78</v>
      </c>
      <c r="K18" s="14">
        <v>45962</v>
      </c>
      <c r="L18" s="14">
        <v>46112</v>
      </c>
      <c r="M18" s="15" t="s">
        <v>72</v>
      </c>
      <c r="N18" s="15" t="s">
        <v>118</v>
      </c>
      <c r="O18" s="15" t="s">
        <v>134</v>
      </c>
      <c r="P18" s="16" t="s">
        <v>128</v>
      </c>
      <c r="Q18" s="16" t="s">
        <v>128</v>
      </c>
      <c r="R18" s="15" t="s">
        <v>118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2"/>
      <c r="AM18" s="22"/>
      <c r="AN18" s="22"/>
      <c r="AO18" s="22">
        <v>2250</v>
      </c>
      <c r="AP18" s="22"/>
      <c r="AQ18" s="22"/>
      <c r="AR18" s="22">
        <f>2250*5</f>
        <v>11250</v>
      </c>
      <c r="AS18" s="22"/>
      <c r="AT18" s="22"/>
      <c r="AU18" s="22">
        <f>2250*5</f>
        <v>11250</v>
      </c>
      <c r="AV18" s="22"/>
      <c r="AW18" s="22"/>
      <c r="AX18" s="22">
        <f>2250*5</f>
        <v>11250</v>
      </c>
      <c r="AY18" s="22"/>
      <c r="AZ18" s="22"/>
      <c r="BA18" s="22">
        <f>2250*4</f>
        <v>9000</v>
      </c>
      <c r="BB18" s="17"/>
      <c r="BC18" s="17"/>
      <c r="BD18" s="21">
        <f t="shared" si="12"/>
        <v>45000</v>
      </c>
      <c r="BE18" s="21">
        <f t="shared" si="13"/>
        <v>0</v>
      </c>
      <c r="BF18" s="21">
        <f t="shared" si="14"/>
        <v>0</v>
      </c>
      <c r="BG18" s="21">
        <f t="shared" si="15"/>
        <v>45000</v>
      </c>
      <c r="BH18" s="21">
        <f t="shared" si="16"/>
        <v>0</v>
      </c>
      <c r="BI18" s="21">
        <f t="shared" si="17"/>
        <v>2250</v>
      </c>
      <c r="BJ18" s="21">
        <f t="shared" si="18"/>
        <v>0</v>
      </c>
      <c r="BK18" s="21">
        <f t="shared" si="19"/>
        <v>2250</v>
      </c>
      <c r="BL18" s="18"/>
      <c r="BM18" s="18"/>
      <c r="BN18" s="18"/>
      <c r="BO18" s="18"/>
      <c r="BP18" s="18"/>
      <c r="BQ18" s="18"/>
      <c r="BR18" s="18"/>
    </row>
    <row r="19" spans="1:70" x14ac:dyDescent="0.3">
      <c r="A19" s="15" t="s">
        <v>79</v>
      </c>
      <c r="B19" s="15" t="s">
        <v>79</v>
      </c>
      <c r="C19" s="13"/>
      <c r="D19" s="13"/>
      <c r="E19" s="20" t="s">
        <v>70</v>
      </c>
      <c r="F19" s="15" t="s">
        <v>80</v>
      </c>
      <c r="G19" s="15" t="s">
        <v>81</v>
      </c>
      <c r="H19" s="15" t="s">
        <v>81</v>
      </c>
      <c r="I19" s="15" t="s">
        <v>81</v>
      </c>
      <c r="J19" s="19" t="s">
        <v>78</v>
      </c>
      <c r="K19" s="14">
        <v>45962</v>
      </c>
      <c r="L19" s="14">
        <v>46112</v>
      </c>
      <c r="M19" s="15" t="s">
        <v>72</v>
      </c>
      <c r="N19" s="15" t="s">
        <v>119</v>
      </c>
      <c r="O19" s="15" t="s">
        <v>135</v>
      </c>
      <c r="P19" s="16" t="s">
        <v>128</v>
      </c>
      <c r="Q19" s="16" t="s">
        <v>128</v>
      </c>
      <c r="R19" s="15" t="s">
        <v>119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2"/>
      <c r="AM19" s="22"/>
      <c r="AN19" s="22"/>
      <c r="AO19" s="22">
        <f>80*30</f>
        <v>2400</v>
      </c>
      <c r="AP19" s="22"/>
      <c r="AQ19" s="22"/>
      <c r="AR19" s="22">
        <f>80*150</f>
        <v>12000</v>
      </c>
      <c r="AS19" s="22"/>
      <c r="AT19" s="22"/>
      <c r="AU19" s="22">
        <f>80*150</f>
        <v>12000</v>
      </c>
      <c r="AV19" s="22"/>
      <c r="AW19" s="22"/>
      <c r="AX19" s="22">
        <f>80*150</f>
        <v>12000</v>
      </c>
      <c r="AY19" s="22"/>
      <c r="AZ19" s="22"/>
      <c r="BA19" s="22">
        <f>80*120</f>
        <v>9600</v>
      </c>
      <c r="BB19" s="17"/>
      <c r="BC19" s="17"/>
      <c r="BD19" s="21">
        <f t="shared" si="12"/>
        <v>48000</v>
      </c>
      <c r="BE19" s="21">
        <f t="shared" si="13"/>
        <v>0</v>
      </c>
      <c r="BF19" s="21">
        <f t="shared" si="14"/>
        <v>0</v>
      </c>
      <c r="BG19" s="21">
        <f t="shared" si="15"/>
        <v>48000</v>
      </c>
      <c r="BH19" s="21">
        <f t="shared" si="16"/>
        <v>0</v>
      </c>
      <c r="BI19" s="21">
        <f t="shared" si="17"/>
        <v>2400</v>
      </c>
      <c r="BJ19" s="21">
        <f t="shared" si="18"/>
        <v>0</v>
      </c>
      <c r="BK19" s="21">
        <f t="shared" si="19"/>
        <v>2400</v>
      </c>
      <c r="BL19" s="18"/>
      <c r="BM19" s="18"/>
      <c r="BN19" s="18"/>
      <c r="BO19" s="18"/>
      <c r="BP19" s="18"/>
      <c r="BQ19" s="18"/>
      <c r="BR19" s="18"/>
    </row>
    <row r="20" spans="1:70" x14ac:dyDescent="0.3">
      <c r="A20" s="15" t="s">
        <v>79</v>
      </c>
      <c r="B20" s="15" t="s">
        <v>79</v>
      </c>
      <c r="C20" s="13"/>
      <c r="D20" s="13"/>
      <c r="E20" s="20" t="s">
        <v>70</v>
      </c>
      <c r="F20" s="15" t="s">
        <v>80</v>
      </c>
      <c r="G20" s="15" t="s">
        <v>81</v>
      </c>
      <c r="H20" s="15" t="s">
        <v>81</v>
      </c>
      <c r="I20" s="15" t="s">
        <v>81</v>
      </c>
      <c r="J20" s="19" t="s">
        <v>78</v>
      </c>
      <c r="K20" s="14">
        <v>45962</v>
      </c>
      <c r="L20" s="14">
        <v>46112</v>
      </c>
      <c r="M20" s="15" t="s">
        <v>72</v>
      </c>
      <c r="N20" s="15" t="s">
        <v>73</v>
      </c>
      <c r="O20" s="34" t="s">
        <v>136</v>
      </c>
      <c r="P20" s="34" t="s">
        <v>136</v>
      </c>
      <c r="Q20" s="34" t="s">
        <v>136</v>
      </c>
      <c r="R20" s="15" t="s">
        <v>120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2"/>
      <c r="AM20" s="22"/>
      <c r="AN20" s="22"/>
      <c r="AO20" s="22">
        <f>SUM(AO5:AO19)*0.05</f>
        <v>6105</v>
      </c>
      <c r="AP20" s="22"/>
      <c r="AQ20" s="22"/>
      <c r="AR20" s="22">
        <f>SUM(AR5:AR19)*0.05</f>
        <v>7650</v>
      </c>
      <c r="AS20" s="22"/>
      <c r="AT20" s="22"/>
      <c r="AU20" s="22">
        <f>SUM(AU5:AU19)*0.05</f>
        <v>9075</v>
      </c>
      <c r="AV20" s="22"/>
      <c r="AW20" s="22"/>
      <c r="AX20" s="22">
        <f>SUM(AX5:AX19)*0.05</f>
        <v>7650</v>
      </c>
      <c r="AY20" s="22"/>
      <c r="AZ20" s="22"/>
      <c r="BA20" s="22">
        <f>SUM(BA5:BA19)*0.05</f>
        <v>6120</v>
      </c>
      <c r="BB20" s="17"/>
      <c r="BC20" s="17"/>
      <c r="BD20" s="21">
        <f t="shared" si="12"/>
        <v>36600</v>
      </c>
      <c r="BE20" s="21">
        <f t="shared" si="13"/>
        <v>0</v>
      </c>
      <c r="BF20" s="21">
        <f t="shared" si="14"/>
        <v>0</v>
      </c>
      <c r="BG20" s="21">
        <f t="shared" si="15"/>
        <v>36600</v>
      </c>
      <c r="BH20" s="21">
        <f t="shared" si="16"/>
        <v>0</v>
      </c>
      <c r="BI20" s="21">
        <f t="shared" si="17"/>
        <v>6105</v>
      </c>
      <c r="BJ20" s="21">
        <f t="shared" si="18"/>
        <v>0</v>
      </c>
      <c r="BK20" s="21">
        <f t="shared" si="19"/>
        <v>6105</v>
      </c>
      <c r="BL20" s="18"/>
      <c r="BM20" s="18"/>
      <c r="BN20" s="18"/>
      <c r="BO20" s="18"/>
      <c r="BP20" s="18"/>
      <c r="BQ20" s="18"/>
      <c r="BR20" s="18"/>
    </row>
    <row r="21" spans="1:70" x14ac:dyDescent="0.3">
      <c r="A21" s="35" t="s">
        <v>79</v>
      </c>
      <c r="B21" s="35" t="s">
        <v>79</v>
      </c>
      <c r="C21" s="36"/>
      <c r="D21" s="36"/>
      <c r="E21" s="37" t="s">
        <v>70</v>
      </c>
      <c r="F21" s="35" t="s">
        <v>80</v>
      </c>
      <c r="G21" s="35" t="s">
        <v>81</v>
      </c>
      <c r="H21" s="35" t="s">
        <v>81</v>
      </c>
      <c r="I21" s="35" t="s">
        <v>81</v>
      </c>
      <c r="J21" s="38" t="s">
        <v>78</v>
      </c>
      <c r="K21" s="39">
        <v>45962</v>
      </c>
      <c r="L21" s="39">
        <v>46112</v>
      </c>
      <c r="M21" s="35" t="s">
        <v>75</v>
      </c>
      <c r="N21" s="35" t="s">
        <v>74</v>
      </c>
      <c r="O21" s="35" t="s">
        <v>137</v>
      </c>
      <c r="P21" s="38" t="s">
        <v>138</v>
      </c>
      <c r="Q21" s="36" t="s">
        <v>138</v>
      </c>
      <c r="R21" s="36" t="s">
        <v>121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>
        <f>SUM(AO5:AO19)*0.1</f>
        <v>12210</v>
      </c>
      <c r="AP21" s="40"/>
      <c r="AQ21" s="40"/>
      <c r="AR21" s="40">
        <f>SUM(AR5:AR19)*0.1</f>
        <v>15300</v>
      </c>
      <c r="AS21" s="40"/>
      <c r="AT21" s="40"/>
      <c r="AU21" s="40">
        <f>SUM(AU5:AU19)*0.1</f>
        <v>18150</v>
      </c>
      <c r="AV21" s="40"/>
      <c r="AW21" s="40"/>
      <c r="AX21" s="40">
        <f>SUM(AX5:AX19)*0.1</f>
        <v>15300</v>
      </c>
      <c r="AY21" s="40"/>
      <c r="AZ21" s="40"/>
      <c r="BA21" s="40">
        <f>SUM(BA5:BA19)*0.1</f>
        <v>12240</v>
      </c>
      <c r="BB21" s="40"/>
      <c r="BC21" s="40"/>
      <c r="BD21" s="41">
        <f t="shared" si="12"/>
        <v>73200</v>
      </c>
      <c r="BE21" s="21">
        <f t="shared" si="13"/>
        <v>0</v>
      </c>
      <c r="BF21" s="21">
        <f t="shared" si="14"/>
        <v>0</v>
      </c>
      <c r="BG21" s="21">
        <f t="shared" si="15"/>
        <v>73200</v>
      </c>
      <c r="BH21" s="21">
        <f t="shared" si="16"/>
        <v>0</v>
      </c>
      <c r="BI21" s="21">
        <f t="shared" si="17"/>
        <v>12210</v>
      </c>
      <c r="BJ21" s="21">
        <f t="shared" si="18"/>
        <v>0</v>
      </c>
      <c r="BK21" s="21">
        <f t="shared" si="19"/>
        <v>12210</v>
      </c>
      <c r="BL21" s="18"/>
      <c r="BM21" s="18"/>
      <c r="BN21" s="18"/>
      <c r="BO21" s="18"/>
      <c r="BP21" s="18"/>
      <c r="BQ21" s="18"/>
      <c r="BR2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workbookViewId="0">
      <selection activeCell="F18" sqref="F18"/>
    </sheetView>
  </sheetViews>
  <sheetFormatPr defaultColWidth="30.44140625" defaultRowHeight="14.4" x14ac:dyDescent="0.3"/>
  <cols>
    <col min="1" max="1" width="1.44140625" customWidth="1"/>
    <col min="2" max="2" width="29" bestFit="1" customWidth="1"/>
    <col min="3" max="3" width="42.109375" bestFit="1" customWidth="1"/>
    <col min="4" max="4" width="11.33203125" bestFit="1" customWidth="1"/>
    <col min="6" max="6" width="11.88671875" bestFit="1" customWidth="1"/>
    <col min="7" max="7" width="6" bestFit="1" customWidth="1"/>
    <col min="8" max="9" width="7" bestFit="1" customWidth="1"/>
    <col min="10" max="10" width="8" bestFit="1" customWidth="1"/>
  </cols>
  <sheetData>
    <row r="1" spans="2:10" x14ac:dyDescent="0.3">
      <c r="E1" t="s">
        <v>102</v>
      </c>
      <c r="F1" t="s">
        <v>96</v>
      </c>
    </row>
    <row r="2" spans="2:10" x14ac:dyDescent="0.3">
      <c r="E2">
        <v>12700</v>
      </c>
      <c r="F2">
        <v>1</v>
      </c>
      <c r="G2">
        <v>5</v>
      </c>
      <c r="H2">
        <v>5</v>
      </c>
      <c r="I2">
        <v>5</v>
      </c>
      <c r="J2">
        <v>4</v>
      </c>
    </row>
    <row r="3" spans="2:10" x14ac:dyDescent="0.3">
      <c r="B3" s="24" t="s">
        <v>84</v>
      </c>
      <c r="C3" s="24" t="s">
        <v>85</v>
      </c>
      <c r="D3" s="24" t="s">
        <v>86</v>
      </c>
      <c r="E3" s="29" t="s">
        <v>95</v>
      </c>
      <c r="F3" s="28" t="s">
        <v>97</v>
      </c>
      <c r="G3" s="28" t="s">
        <v>98</v>
      </c>
      <c r="H3" s="28" t="s">
        <v>99</v>
      </c>
      <c r="I3" s="28" t="s">
        <v>100</v>
      </c>
      <c r="J3" s="28" t="s">
        <v>101</v>
      </c>
    </row>
    <row r="4" spans="2:10" ht="28.8" x14ac:dyDescent="0.3">
      <c r="B4" s="25" t="s">
        <v>87</v>
      </c>
      <c r="C4" s="26" t="s">
        <v>88</v>
      </c>
      <c r="D4" s="27">
        <v>0.35</v>
      </c>
      <c r="E4" s="30">
        <f>$E$2*D4</f>
        <v>4445</v>
      </c>
      <c r="F4" s="30">
        <f>$E4*F$2</f>
        <v>4445</v>
      </c>
      <c r="G4" s="30">
        <f>$E4*G$2</f>
        <v>22225</v>
      </c>
      <c r="H4" s="30">
        <f>$E4*H$2</f>
        <v>22225</v>
      </c>
      <c r="I4" s="30">
        <f>$E4*I$2</f>
        <v>22225</v>
      </c>
      <c r="J4" s="30">
        <f>$E4*J$2</f>
        <v>17780</v>
      </c>
    </row>
    <row r="5" spans="2:10" ht="28.8" x14ac:dyDescent="0.3">
      <c r="B5" s="25" t="s">
        <v>83</v>
      </c>
      <c r="C5" s="26" t="s">
        <v>89</v>
      </c>
      <c r="D5" s="27">
        <v>0.35</v>
      </c>
      <c r="E5" s="30">
        <f t="shared" ref="E5:E7" si="0">$E$2*D5</f>
        <v>4445</v>
      </c>
      <c r="F5" s="30">
        <f t="shared" ref="F5:J7" si="1">$E5*F$2</f>
        <v>4445</v>
      </c>
      <c r="G5" s="30">
        <f t="shared" si="1"/>
        <v>22225</v>
      </c>
      <c r="H5" s="30">
        <f t="shared" si="1"/>
        <v>22225</v>
      </c>
      <c r="I5" s="30">
        <f t="shared" si="1"/>
        <v>22225</v>
      </c>
      <c r="J5" s="30">
        <f t="shared" si="1"/>
        <v>17780</v>
      </c>
    </row>
    <row r="6" spans="2:10" ht="28.8" x14ac:dyDescent="0.3">
      <c r="B6" s="25" t="s">
        <v>90</v>
      </c>
      <c r="C6" s="26" t="s">
        <v>91</v>
      </c>
      <c r="D6" s="27">
        <v>0.15</v>
      </c>
      <c r="E6" s="30">
        <f t="shared" si="0"/>
        <v>1905</v>
      </c>
      <c r="F6" s="30">
        <f t="shared" si="1"/>
        <v>1905</v>
      </c>
      <c r="G6" s="30">
        <f t="shared" si="1"/>
        <v>9525</v>
      </c>
      <c r="H6" s="30">
        <f t="shared" si="1"/>
        <v>9525</v>
      </c>
      <c r="I6" s="30">
        <f t="shared" si="1"/>
        <v>9525</v>
      </c>
      <c r="J6" s="30">
        <f t="shared" si="1"/>
        <v>7620</v>
      </c>
    </row>
    <row r="7" spans="2:10" ht="28.8" x14ac:dyDescent="0.3">
      <c r="B7" s="25" t="s">
        <v>76</v>
      </c>
      <c r="C7" s="26" t="s">
        <v>92</v>
      </c>
      <c r="D7" s="27">
        <v>0.15</v>
      </c>
      <c r="E7" s="30">
        <f t="shared" si="0"/>
        <v>1905</v>
      </c>
      <c r="F7" s="30">
        <f t="shared" si="1"/>
        <v>1905</v>
      </c>
      <c r="G7" s="30">
        <f t="shared" si="1"/>
        <v>9525</v>
      </c>
      <c r="H7" s="30">
        <f t="shared" si="1"/>
        <v>9525</v>
      </c>
      <c r="I7" s="30">
        <f t="shared" si="1"/>
        <v>9525</v>
      </c>
      <c r="J7" s="30">
        <f t="shared" si="1"/>
        <v>7620</v>
      </c>
    </row>
    <row r="8" spans="2:10" x14ac:dyDescent="0.3">
      <c r="B8" s="25" t="s">
        <v>93</v>
      </c>
      <c r="C8" s="26" t="s">
        <v>94</v>
      </c>
      <c r="D8" s="27">
        <v>1</v>
      </c>
      <c r="E8" s="30">
        <f>SUM(E4:E7)</f>
        <v>12700</v>
      </c>
    </row>
    <row r="11" spans="2:10" x14ac:dyDescent="0.3">
      <c r="C11" s="32" t="s">
        <v>111</v>
      </c>
    </row>
    <row r="12" spans="2:10" x14ac:dyDescent="0.3">
      <c r="C12" t="s">
        <v>115</v>
      </c>
      <c r="D12">
        <f>90000*0.7</f>
        <v>62999.999999999993</v>
      </c>
    </row>
    <row r="15" spans="2:10" x14ac:dyDescent="0.3">
      <c r="E15" t="s">
        <v>97</v>
      </c>
      <c r="F15" t="s">
        <v>98</v>
      </c>
      <c r="G15" t="s">
        <v>99</v>
      </c>
      <c r="H15" t="s">
        <v>100</v>
      </c>
      <c r="I15" t="s">
        <v>101</v>
      </c>
    </row>
    <row r="16" spans="2:10" x14ac:dyDescent="0.3">
      <c r="D16" t="s">
        <v>96</v>
      </c>
      <c r="E16">
        <v>1</v>
      </c>
      <c r="F16">
        <v>5</v>
      </c>
      <c r="G16">
        <v>5</v>
      </c>
      <c r="H16">
        <v>5</v>
      </c>
      <c r="I16">
        <v>4</v>
      </c>
    </row>
    <row r="17" spans="4:9" x14ac:dyDescent="0.3">
      <c r="D17" t="s">
        <v>116</v>
      </c>
      <c r="E17" s="33">
        <v>0.05</v>
      </c>
      <c r="F17" s="33">
        <v>0.25</v>
      </c>
      <c r="G17" s="33">
        <v>0.25</v>
      </c>
      <c r="H17" s="33">
        <v>0.25</v>
      </c>
      <c r="I17" s="33">
        <v>0.2</v>
      </c>
    </row>
    <row r="18" spans="4:9" x14ac:dyDescent="0.3">
      <c r="E18">
        <f>E17*$D$12</f>
        <v>3150</v>
      </c>
      <c r="F18">
        <f>F17*$D$12</f>
        <v>15749.999999999998</v>
      </c>
      <c r="G18">
        <f>G17*$D$12</f>
        <v>15749.999999999998</v>
      </c>
      <c r="H18">
        <f>H17*$D$12</f>
        <v>15749.999999999998</v>
      </c>
      <c r="I18">
        <f>I17*$D$12</f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PC cost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2025-11-20T06:21:42Z</dcterms:modified>
</cp:coreProperties>
</file>